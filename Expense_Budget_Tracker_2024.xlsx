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E103129-B2F5-498D-88F9-A0C4F2EF73C7}" xr6:coauthVersionLast="47" xr6:coauthVersionMax="47" xr10:uidLastSave="{00000000-0000-0000-0000-000000000000}"/>
  <bookViews>
    <workbookView xWindow="3930" yWindow="2925" windowWidth="15375" windowHeight="7875" tabRatio="500" firstSheet="3" activeTab="3" xr2:uid="{00000000-000D-0000-FFFF-FFFF00000000}"/>
  </bookViews>
  <sheets>
    <sheet name="Dashboard" sheetId="4" r:id="rId1"/>
    <sheet name="Input" sheetId="1" r:id="rId2"/>
    <sheet name="Categories" sheetId="2" r:id="rId3"/>
    <sheet name="Monthly Summary" sheetId="5" r:id="rId4"/>
    <sheet name="Lists" sheetId="3" r:id="rId5"/>
  </sheets>
  <definedNames>
    <definedName name="_xlnm._FilterDatabase" localSheetId="1" hidden="1">Input!$A$4:$I$1004</definedName>
    <definedName name="tblExpense">Table1[]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5" l="1"/>
  <c r="C23" i="5"/>
  <c r="C24" i="5"/>
  <c r="C25" i="5"/>
  <c r="C26" i="5"/>
  <c r="C27" i="5"/>
  <c r="C28" i="5"/>
  <c r="C29" i="5"/>
  <c r="C30" i="5"/>
  <c r="C21" i="5"/>
  <c r="B22" i="5"/>
  <c r="B23" i="5"/>
  <c r="B24" i="5"/>
  <c r="B25" i="5"/>
  <c r="B26" i="5"/>
  <c r="B27" i="5"/>
  <c r="B28" i="5"/>
  <c r="B29" i="5"/>
  <c r="B30" i="5"/>
  <c r="B21" i="5"/>
  <c r="A23" i="5"/>
  <c r="A24" i="5" s="1"/>
  <c r="A25" i="5" s="1"/>
  <c r="A26" i="5" s="1"/>
  <c r="A27" i="5" s="1"/>
  <c r="A28" i="5" s="1"/>
  <c r="A29" i="5" s="1"/>
  <c r="A30" i="5" s="1"/>
  <c r="A22" i="5"/>
  <c r="A21" i="5"/>
  <c r="C8" i="4" a="1"/>
  <c r="C8" i="4" s="1"/>
  <c r="C6" i="4"/>
  <c r="C5" i="4"/>
  <c r="C9" i="4" s="1"/>
  <c r="M17" i="5"/>
  <c r="P17" i="5"/>
  <c r="Q17" i="5" s="1"/>
  <c r="C17" i="5"/>
  <c r="D17" i="5"/>
  <c r="E17" i="5"/>
  <c r="F17" i="5"/>
  <c r="G17" i="5"/>
  <c r="H17" i="5"/>
  <c r="I17" i="5"/>
  <c r="J17" i="5"/>
  <c r="K17" i="5"/>
  <c r="L17" i="5"/>
  <c r="N17" i="5"/>
  <c r="O17" i="5"/>
  <c r="B17" i="5"/>
  <c r="Q16" i="5"/>
  <c r="Q6" i="5"/>
  <c r="Q7" i="5"/>
  <c r="Q8" i="5"/>
  <c r="Q9" i="5"/>
  <c r="Q10" i="5"/>
  <c r="Q11" i="5"/>
  <c r="Q12" i="5"/>
  <c r="Q13" i="5"/>
  <c r="Q14" i="5"/>
  <c r="Q15" i="5"/>
  <c r="Q5" i="5"/>
  <c r="P6" i="5"/>
  <c r="P7" i="5"/>
  <c r="P8" i="5"/>
  <c r="P9" i="5"/>
  <c r="P10" i="5"/>
  <c r="P11" i="5"/>
  <c r="P12" i="5"/>
  <c r="P13" i="5"/>
  <c r="P14" i="5"/>
  <c r="P15" i="5"/>
  <c r="P16" i="5"/>
  <c r="P5" i="5"/>
  <c r="O6" i="5"/>
  <c r="O7" i="5"/>
  <c r="O8" i="5"/>
  <c r="O9" i="5"/>
  <c r="O10" i="5"/>
  <c r="O11" i="5"/>
  <c r="O12" i="5"/>
  <c r="O13" i="5"/>
  <c r="O14" i="5"/>
  <c r="O15" i="5"/>
  <c r="O16" i="5"/>
  <c r="O5" i="5"/>
  <c r="N6" i="5"/>
  <c r="N7" i="5"/>
  <c r="N8" i="5"/>
  <c r="N9" i="5"/>
  <c r="N10" i="5"/>
  <c r="N11" i="5"/>
  <c r="N12" i="5"/>
  <c r="N13" i="5"/>
  <c r="N14" i="5"/>
  <c r="N15" i="5"/>
  <c r="N16" i="5"/>
  <c r="N5" i="5"/>
  <c r="M6" i="5"/>
  <c r="M7" i="5"/>
  <c r="M8" i="5"/>
  <c r="M9" i="5"/>
  <c r="M10" i="5"/>
  <c r="M11" i="5"/>
  <c r="M12" i="5"/>
  <c r="M13" i="5"/>
  <c r="M14" i="5"/>
  <c r="M15" i="5"/>
  <c r="M16" i="5"/>
  <c r="M5" i="5"/>
  <c r="C6" i="5"/>
  <c r="D6" i="5"/>
  <c r="E6" i="5"/>
  <c r="F6" i="5"/>
  <c r="G6" i="5"/>
  <c r="H6" i="5"/>
  <c r="I6" i="5"/>
  <c r="J6" i="5"/>
  <c r="K6" i="5"/>
  <c r="L6" i="5"/>
  <c r="C7" i="5"/>
  <c r="D7" i="5"/>
  <c r="E7" i="5"/>
  <c r="F7" i="5"/>
  <c r="G7" i="5"/>
  <c r="H7" i="5"/>
  <c r="I7" i="5"/>
  <c r="J7" i="5"/>
  <c r="K7" i="5"/>
  <c r="L7" i="5"/>
  <c r="C8" i="5"/>
  <c r="D8" i="5"/>
  <c r="E8" i="5"/>
  <c r="F8" i="5"/>
  <c r="G8" i="5"/>
  <c r="H8" i="5"/>
  <c r="I8" i="5"/>
  <c r="J8" i="5"/>
  <c r="K8" i="5"/>
  <c r="L8" i="5"/>
  <c r="C9" i="5"/>
  <c r="D9" i="5"/>
  <c r="E9" i="5"/>
  <c r="F9" i="5"/>
  <c r="G9" i="5"/>
  <c r="H9" i="5"/>
  <c r="I9" i="5"/>
  <c r="J9" i="5"/>
  <c r="K9" i="5"/>
  <c r="L9" i="5"/>
  <c r="C10" i="5"/>
  <c r="D10" i="5"/>
  <c r="E10" i="5"/>
  <c r="F10" i="5"/>
  <c r="G10" i="5"/>
  <c r="H10" i="5"/>
  <c r="I10" i="5"/>
  <c r="J10" i="5"/>
  <c r="K10" i="5"/>
  <c r="L10" i="5"/>
  <c r="C11" i="5"/>
  <c r="D11" i="5"/>
  <c r="E11" i="5"/>
  <c r="F11" i="5"/>
  <c r="G11" i="5"/>
  <c r="H11" i="5"/>
  <c r="I11" i="5"/>
  <c r="J11" i="5"/>
  <c r="K11" i="5"/>
  <c r="L11" i="5"/>
  <c r="C12" i="5"/>
  <c r="D12" i="5"/>
  <c r="E12" i="5"/>
  <c r="F12" i="5"/>
  <c r="G12" i="5"/>
  <c r="H12" i="5"/>
  <c r="I12" i="5"/>
  <c r="J12" i="5"/>
  <c r="K12" i="5"/>
  <c r="L12" i="5"/>
  <c r="C13" i="5"/>
  <c r="D13" i="5"/>
  <c r="E13" i="5"/>
  <c r="F13" i="5"/>
  <c r="G13" i="5"/>
  <c r="H13" i="5"/>
  <c r="I13" i="5"/>
  <c r="J13" i="5"/>
  <c r="K13" i="5"/>
  <c r="L13" i="5"/>
  <c r="C14" i="5"/>
  <c r="D14" i="5"/>
  <c r="E14" i="5"/>
  <c r="F14" i="5"/>
  <c r="G14" i="5"/>
  <c r="H14" i="5"/>
  <c r="I14" i="5"/>
  <c r="J14" i="5"/>
  <c r="K14" i="5"/>
  <c r="L14" i="5"/>
  <c r="C15" i="5"/>
  <c r="D15" i="5"/>
  <c r="E15" i="5"/>
  <c r="F15" i="5"/>
  <c r="G15" i="5"/>
  <c r="H15" i="5"/>
  <c r="I15" i="5"/>
  <c r="J15" i="5"/>
  <c r="K15" i="5"/>
  <c r="L15" i="5"/>
  <c r="C16" i="5"/>
  <c r="D16" i="5"/>
  <c r="E16" i="5"/>
  <c r="F16" i="5"/>
  <c r="G16" i="5"/>
  <c r="H16" i="5"/>
  <c r="I16" i="5"/>
  <c r="J16" i="5"/>
  <c r="K16" i="5"/>
  <c r="L16" i="5"/>
  <c r="D5" i="5"/>
  <c r="E5" i="5"/>
  <c r="F5" i="5"/>
  <c r="G5" i="5"/>
  <c r="H5" i="5"/>
  <c r="I5" i="5"/>
  <c r="J5" i="5"/>
  <c r="K5" i="5"/>
  <c r="L5" i="5"/>
  <c r="C5" i="5"/>
  <c r="B6" i="5"/>
  <c r="B7" i="5"/>
  <c r="B8" i="5"/>
  <c r="B9" i="5"/>
  <c r="B10" i="5"/>
  <c r="B11" i="5"/>
  <c r="B12" i="5"/>
  <c r="B13" i="5"/>
  <c r="B14" i="5"/>
  <c r="B15" i="5"/>
  <c r="B16" i="5"/>
  <c r="B5" i="5"/>
  <c r="A15" i="5"/>
  <c r="A16" i="5"/>
  <c r="A11" i="5"/>
  <c r="A12" i="5"/>
  <c r="A13" i="5"/>
  <c r="A14" i="5"/>
  <c r="A6" i="5"/>
  <c r="A7" i="5"/>
  <c r="A8" i="5"/>
  <c r="A9" i="5"/>
  <c r="A10" i="5"/>
  <c r="A5" i="5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C7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<sst xmlns="http://schemas.openxmlformats.org/spreadsheetml/2006/main" count="6078" uniqueCount="1129">
  <si>
    <t>Transaction ID</t>
  </si>
  <si>
    <t>Date</t>
  </si>
  <si>
    <t>Department</t>
  </si>
  <si>
    <t>Category</t>
  </si>
  <si>
    <t>Vendor / Description</t>
  </si>
  <si>
    <t>Amount (USD)</t>
  </si>
  <si>
    <t>Payment Method</t>
  </si>
  <si>
    <t>Status</t>
  </si>
  <si>
    <t>Month (helper)</t>
  </si>
  <si>
    <t>EXP-02401</t>
  </si>
  <si>
    <t>Product</t>
  </si>
  <si>
    <t>Rent</t>
  </si>
  <si>
    <t>Landlord - Office Lease</t>
  </si>
  <si>
    <t>Bank Transfer</t>
  </si>
  <si>
    <t>Approved</t>
  </si>
  <si>
    <t>EXP-02402</t>
  </si>
  <si>
    <t>Admin</t>
  </si>
  <si>
    <t>Travel</t>
  </si>
  <si>
    <t>Air India</t>
  </si>
  <si>
    <t>Corporate Card</t>
  </si>
  <si>
    <t>Pending</t>
  </si>
  <si>
    <t>EXP-02403</t>
  </si>
  <si>
    <t>Marketing</t>
  </si>
  <si>
    <t>Ola</t>
  </si>
  <si>
    <t>Reimbursement</t>
  </si>
  <si>
    <t>EXP-02404</t>
  </si>
  <si>
    <t>Print Vendor</t>
  </si>
  <si>
    <t>Purchase Order</t>
  </si>
  <si>
    <t>EXP-02405</t>
  </si>
  <si>
    <t>HR</t>
  </si>
  <si>
    <t>Meals &amp; Entertainment</t>
  </si>
  <si>
    <t>Team Dinner</t>
  </si>
  <si>
    <t>EXP-02406</t>
  </si>
  <si>
    <t>Operations</t>
  </si>
  <si>
    <t>Cafe Coffee Day</t>
  </si>
  <si>
    <t>EXP-02407</t>
  </si>
  <si>
    <t>Office Supplies</t>
  </si>
  <si>
    <t>Staples</t>
  </si>
  <si>
    <t>EXP-02408</t>
  </si>
  <si>
    <t>IT</t>
  </si>
  <si>
    <t>Software &amp; Subscriptions</t>
  </si>
  <si>
    <t>Zoom</t>
  </si>
  <si>
    <t>EXP-02409</t>
  </si>
  <si>
    <t>Telephone &amp; Internet</t>
  </si>
  <si>
    <t>Airtel Business</t>
  </si>
  <si>
    <t>EXP-02410</t>
  </si>
  <si>
    <t>Utilities</t>
  </si>
  <si>
    <t>Water Authority</t>
  </si>
  <si>
    <t>EXP-02411</t>
  </si>
  <si>
    <t>Sales</t>
  </si>
  <si>
    <t>Miscellaneous</t>
  </si>
  <si>
    <t>Bank Charges</t>
  </si>
  <si>
    <t>Cash</t>
  </si>
  <si>
    <t>EXP-02412</t>
  </si>
  <si>
    <t>Finance</t>
  </si>
  <si>
    <t>Equipment &amp; IT</t>
  </si>
  <si>
    <t>Cisco Networking</t>
  </si>
  <si>
    <t>EXP-02413</t>
  </si>
  <si>
    <t>Slack</t>
  </si>
  <si>
    <t>EXP-02414</t>
  </si>
  <si>
    <t>Client Dinner</t>
  </si>
  <si>
    <t>EXP-02415</t>
  </si>
  <si>
    <t>Courier Service</t>
  </si>
  <si>
    <t>EXP-02416</t>
  </si>
  <si>
    <t>EXP-02417</t>
  </si>
  <si>
    <t>Subway</t>
  </si>
  <si>
    <t>EXP-02418</t>
  </si>
  <si>
    <t>EXP-02419</t>
  </si>
  <si>
    <t>Taj Hotels</t>
  </si>
  <si>
    <t>EXP-02420</t>
  </si>
  <si>
    <t>Cleaning Services</t>
  </si>
  <si>
    <t>EXP-02421</t>
  </si>
  <si>
    <t>EXP-02422</t>
  </si>
  <si>
    <t>EXP-02423</t>
  </si>
  <si>
    <t>EXP-02424</t>
  </si>
  <si>
    <t>Event Sponsorship</t>
  </si>
  <si>
    <t>EXP-02425</t>
  </si>
  <si>
    <t>EXP-02426</t>
  </si>
  <si>
    <t>BSNL</t>
  </si>
  <si>
    <t>EXP-02427</t>
  </si>
  <si>
    <t>Uber</t>
  </si>
  <si>
    <t>EXP-02428</t>
  </si>
  <si>
    <t>Professional Services</t>
  </si>
  <si>
    <t>Recruitment Agency</t>
  </si>
  <si>
    <t>EXP-02429</t>
  </si>
  <si>
    <t>Jio Business</t>
  </si>
  <si>
    <t>Auto Debit</t>
  </si>
  <si>
    <t>EXP-02430</t>
  </si>
  <si>
    <t>Paper Mart</t>
  </si>
  <si>
    <t>EXP-02431</t>
  </si>
  <si>
    <t>EXP-02432</t>
  </si>
  <si>
    <t>EXP-02433</t>
  </si>
  <si>
    <t>EXP-02434</t>
  </si>
  <si>
    <t>Google Ads</t>
  </si>
  <si>
    <t>EXP-02435</t>
  </si>
  <si>
    <t>Lenovo</t>
  </si>
  <si>
    <t>EXP-02436</t>
  </si>
  <si>
    <t>LinkedIn Ads</t>
  </si>
  <si>
    <t>EXP-02437</t>
  </si>
  <si>
    <t>EXP-02438</t>
  </si>
  <si>
    <t>EXP-02439</t>
  </si>
  <si>
    <t>EXP-02440</t>
  </si>
  <si>
    <t>EXP-02441</t>
  </si>
  <si>
    <t>Legal Associates LLP</t>
  </si>
  <si>
    <t>EXP-02442</t>
  </si>
  <si>
    <t>Salesforce</t>
  </si>
  <si>
    <t>EXP-02443</t>
  </si>
  <si>
    <t>EXP-02444</t>
  </si>
  <si>
    <t>EXP-02445</t>
  </si>
  <si>
    <t>EXP-02446</t>
  </si>
  <si>
    <t>EXP-02447</t>
  </si>
  <si>
    <t>EXP-02448</t>
  </si>
  <si>
    <t>EXP-02449</t>
  </si>
  <si>
    <t>EXP-02450</t>
  </si>
  <si>
    <t>Training &amp; Development</t>
  </si>
  <si>
    <t>Certification Exam Fee</t>
  </si>
  <si>
    <t>EXP-02451</t>
  </si>
  <si>
    <t>Coursera for Business</t>
  </si>
  <si>
    <t>EXP-02452</t>
  </si>
  <si>
    <t>EXP-02453</t>
  </si>
  <si>
    <t>EXP-02454</t>
  </si>
  <si>
    <t>EXP-02455</t>
  </si>
  <si>
    <t>EXP-02456</t>
  </si>
  <si>
    <t>EXP-02457</t>
  </si>
  <si>
    <t>EXP-02458</t>
  </si>
  <si>
    <t>EXP-02459</t>
  </si>
  <si>
    <t>EXP-02460</t>
  </si>
  <si>
    <t>EXP-02461</t>
  </si>
  <si>
    <t>EXP-02462</t>
  </si>
  <si>
    <t>EXP-02463</t>
  </si>
  <si>
    <t>Atlassian Jira</t>
  </si>
  <si>
    <t>EXP-02464</t>
  </si>
  <si>
    <t>EXP-02465</t>
  </si>
  <si>
    <t>EXP-02466</t>
  </si>
  <si>
    <t>EXP-02467</t>
  </si>
  <si>
    <t>EXP-02468</t>
  </si>
  <si>
    <t>Marriott Hotel</t>
  </si>
  <si>
    <t>EXP-02469</t>
  </si>
  <si>
    <t>Adobe Creative Cloud</t>
  </si>
  <si>
    <t>EXP-02470</t>
  </si>
  <si>
    <t>EXP-02471</t>
  </si>
  <si>
    <t>EXP-02472</t>
  </si>
  <si>
    <t>Local IT Vendor</t>
  </si>
  <si>
    <t>EXP-02473</t>
  </si>
  <si>
    <t>EXP-02474</t>
  </si>
  <si>
    <t>Amazon Business</t>
  </si>
  <si>
    <t>EXP-02475</t>
  </si>
  <si>
    <t>EXP-02476</t>
  </si>
  <si>
    <t>Dropbox Business</t>
  </si>
  <si>
    <t>EXP-02477</t>
  </si>
  <si>
    <t>Local Stationery</t>
  </si>
  <si>
    <t>EXP-02478</t>
  </si>
  <si>
    <t>EXP-02479</t>
  </si>
  <si>
    <t>EXP-02480</t>
  </si>
  <si>
    <t>IndiGo</t>
  </si>
  <si>
    <t>EXP-02481</t>
  </si>
  <si>
    <t>EXP-02482</t>
  </si>
  <si>
    <t>Local Workshop Provider</t>
  </si>
  <si>
    <t>EXP-02483</t>
  </si>
  <si>
    <t>EXP-02484</t>
  </si>
  <si>
    <t>EXP-02485</t>
  </si>
  <si>
    <t>EXP-02486</t>
  </si>
  <si>
    <t>Dell</t>
  </si>
  <si>
    <t>EXP-02487</t>
  </si>
  <si>
    <t>EXP-02488</t>
  </si>
  <si>
    <t>EXP-02489</t>
  </si>
  <si>
    <t>Pantry Supplies</t>
  </si>
  <si>
    <t>EXP-02490</t>
  </si>
  <si>
    <t>EXP-02491</t>
  </si>
  <si>
    <t>Domino's</t>
  </si>
  <si>
    <t>EXP-02492</t>
  </si>
  <si>
    <t>Hertz Car Rental</t>
  </si>
  <si>
    <t>EXP-02493</t>
  </si>
  <si>
    <t>EXP-02494</t>
  </si>
  <si>
    <t>EXP-02495</t>
  </si>
  <si>
    <t>Influencer Partner</t>
  </si>
  <si>
    <t>EXP-02496</t>
  </si>
  <si>
    <t>EXP-02497</t>
  </si>
  <si>
    <t>EXP-02498</t>
  </si>
  <si>
    <t>EXP-02499</t>
  </si>
  <si>
    <t>EXP-02500</t>
  </si>
  <si>
    <t>EXP-02501</t>
  </si>
  <si>
    <t>Microsoft 365</t>
  </si>
  <si>
    <t>EXP-02502</t>
  </si>
  <si>
    <t>EXP-02503</t>
  </si>
  <si>
    <t>Starbucks</t>
  </si>
  <si>
    <t>EXP-02504</t>
  </si>
  <si>
    <t>Gas Supply Co.</t>
  </si>
  <si>
    <t>EXP-02505</t>
  </si>
  <si>
    <t>EXP-02506</t>
  </si>
  <si>
    <t>EXP-02507</t>
  </si>
  <si>
    <t>EXP-02508</t>
  </si>
  <si>
    <t>EXP-02509</t>
  </si>
  <si>
    <t>EXP-02510</t>
  </si>
  <si>
    <t>EXP-02511</t>
  </si>
  <si>
    <t>EXP-02512</t>
  </si>
  <si>
    <t>EXP-02513</t>
  </si>
  <si>
    <t>IRCTC Rail</t>
  </si>
  <si>
    <t>EXP-02514</t>
  </si>
  <si>
    <t>Udemy Business</t>
  </si>
  <si>
    <t>EXP-02515</t>
  </si>
  <si>
    <t>EXP-02516</t>
  </si>
  <si>
    <t>EXP-02517</t>
  </si>
  <si>
    <t>EXP-02518</t>
  </si>
  <si>
    <t>EXP-02519</t>
  </si>
  <si>
    <t>EXP-02520</t>
  </si>
  <si>
    <t>EXP-02521</t>
  </si>
  <si>
    <t>EXP-02522</t>
  </si>
  <si>
    <t>EXP-02523</t>
  </si>
  <si>
    <t>EXP-02524</t>
  </si>
  <si>
    <t>EXP-02525</t>
  </si>
  <si>
    <t>EXP-02526</t>
  </si>
  <si>
    <t>EXP-02527</t>
  </si>
  <si>
    <t>EXP-02528</t>
  </si>
  <si>
    <t>Client Lunch - Bistro</t>
  </si>
  <si>
    <t>EXP-02529</t>
  </si>
  <si>
    <t>HR Consultants Inc.</t>
  </si>
  <si>
    <t>EXP-02530</t>
  </si>
  <si>
    <t>EXP-02531</t>
  </si>
  <si>
    <t>EXP-02532</t>
  </si>
  <si>
    <t>EXP-02533</t>
  </si>
  <si>
    <t>EXP-02534</t>
  </si>
  <si>
    <t>EXP-02535</t>
  </si>
  <si>
    <t>EXP-02536</t>
  </si>
  <si>
    <t>EXP-02537</t>
  </si>
  <si>
    <t>EXP-02538</t>
  </si>
  <si>
    <t>EXP-02539</t>
  </si>
  <si>
    <t>Audit &amp; Tax Partners</t>
  </si>
  <si>
    <t>EXP-02540</t>
  </si>
  <si>
    <t>EXP-02541</t>
  </si>
  <si>
    <t>EXP-02542</t>
  </si>
  <si>
    <t>EXP-02543</t>
  </si>
  <si>
    <t>EXP-02544</t>
  </si>
  <si>
    <t>EXP-02545</t>
  </si>
  <si>
    <t>City Power Board</t>
  </si>
  <si>
    <t>EXP-02546</t>
  </si>
  <si>
    <t>EXP-02547</t>
  </si>
  <si>
    <t>EXP-02548</t>
  </si>
  <si>
    <t>Office Depot</t>
  </si>
  <si>
    <t>EXP-02549</t>
  </si>
  <si>
    <t>EXP-02550</t>
  </si>
  <si>
    <t>EXP-02551</t>
  </si>
  <si>
    <t>EXP-02552</t>
  </si>
  <si>
    <t>EXP-02553</t>
  </si>
  <si>
    <t>Meta Ads</t>
  </si>
  <si>
    <t>EXP-02554</t>
  </si>
  <si>
    <t>EXP-02555</t>
  </si>
  <si>
    <t>EXP-02556</t>
  </si>
  <si>
    <t>EXP-02557</t>
  </si>
  <si>
    <t>EXP-02558</t>
  </si>
  <si>
    <t>EXP-02559</t>
  </si>
  <si>
    <t>EXP-02560</t>
  </si>
  <si>
    <t>EXP-02561</t>
  </si>
  <si>
    <t>EXP-02562</t>
  </si>
  <si>
    <t>EXP-02563</t>
  </si>
  <si>
    <t>EXP-02564</t>
  </si>
  <si>
    <t>EXP-02565</t>
  </si>
  <si>
    <t>EXP-02566</t>
  </si>
  <si>
    <t>EXP-02567</t>
  </si>
  <si>
    <t>EXP-02568</t>
  </si>
  <si>
    <t>EXP-02569</t>
  </si>
  <si>
    <t>EXP-02570</t>
  </si>
  <si>
    <t>EXP-02571</t>
  </si>
  <si>
    <t>EXP-02572</t>
  </si>
  <si>
    <t>EXP-02573</t>
  </si>
  <si>
    <t>EXP-02574</t>
  </si>
  <si>
    <t>EXP-02575</t>
  </si>
  <si>
    <t>EXP-02576</t>
  </si>
  <si>
    <t>EXP-02577</t>
  </si>
  <si>
    <t>EXP-02578</t>
  </si>
  <si>
    <t>EXP-02579</t>
  </si>
  <si>
    <t>EXP-02580</t>
  </si>
  <si>
    <t>EXP-02581</t>
  </si>
  <si>
    <t>EXP-02582</t>
  </si>
  <si>
    <t>EXP-02583</t>
  </si>
  <si>
    <t>EXP-02584</t>
  </si>
  <si>
    <t>EXP-02585</t>
  </si>
  <si>
    <t>EXP-02586</t>
  </si>
  <si>
    <t>EXP-02587</t>
  </si>
  <si>
    <t>EXP-02588</t>
  </si>
  <si>
    <t>EXP-02589</t>
  </si>
  <si>
    <t>EXP-02590</t>
  </si>
  <si>
    <t>EXP-02591</t>
  </si>
  <si>
    <t>EXP-02592</t>
  </si>
  <si>
    <t>EXP-02593</t>
  </si>
  <si>
    <t>EXP-02594</t>
  </si>
  <si>
    <t>EXP-02595</t>
  </si>
  <si>
    <t>EXP-02596</t>
  </si>
  <si>
    <t>EXP-02597</t>
  </si>
  <si>
    <t>EXP-02598</t>
  </si>
  <si>
    <t>EXP-02599</t>
  </si>
  <si>
    <t>EXP-02600</t>
  </si>
  <si>
    <t>EXP-02601</t>
  </si>
  <si>
    <t>EXP-02602</t>
  </si>
  <si>
    <t>EXP-02603</t>
  </si>
  <si>
    <t>EXP-02604</t>
  </si>
  <si>
    <t>EXP-02605</t>
  </si>
  <si>
    <t>EXP-02606</t>
  </si>
  <si>
    <t>EXP-02607</t>
  </si>
  <si>
    <t>EXP-02608</t>
  </si>
  <si>
    <t>EXP-02609</t>
  </si>
  <si>
    <t>EXP-02610</t>
  </si>
  <si>
    <t>EXP-02611</t>
  </si>
  <si>
    <t>EXP-02612</t>
  </si>
  <si>
    <t>EXP-02613</t>
  </si>
  <si>
    <t>EXP-02614</t>
  </si>
  <si>
    <t>EXP-02615</t>
  </si>
  <si>
    <t>EXP-02616</t>
  </si>
  <si>
    <t>EXP-02617</t>
  </si>
  <si>
    <t>EXP-02618</t>
  </si>
  <si>
    <t>EXP-02619</t>
  </si>
  <si>
    <t>EXP-02620</t>
  </si>
  <si>
    <t>EXP-02621</t>
  </si>
  <si>
    <t>EXP-02622</t>
  </si>
  <si>
    <t>EXP-02623</t>
  </si>
  <si>
    <t>EXP-02624</t>
  </si>
  <si>
    <t>EXP-02625</t>
  </si>
  <si>
    <t>EXP-02626</t>
  </si>
  <si>
    <t>EXP-02627</t>
  </si>
  <si>
    <t>EXP-02628</t>
  </si>
  <si>
    <t>EXP-02629</t>
  </si>
  <si>
    <t>EXP-02630</t>
  </si>
  <si>
    <t>EXP-02631</t>
  </si>
  <si>
    <t>EXP-02632</t>
  </si>
  <si>
    <t>EXP-02633</t>
  </si>
  <si>
    <t>EXP-02634</t>
  </si>
  <si>
    <t>EXP-02635</t>
  </si>
  <si>
    <t>EXP-02636</t>
  </si>
  <si>
    <t>EXP-02637</t>
  </si>
  <si>
    <t>EXP-02638</t>
  </si>
  <si>
    <t>EXP-02639</t>
  </si>
  <si>
    <t>EXP-02640</t>
  </si>
  <si>
    <t>EXP-02641</t>
  </si>
  <si>
    <t>EXP-02642</t>
  </si>
  <si>
    <t>EXP-02643</t>
  </si>
  <si>
    <t>EXP-02644</t>
  </si>
  <si>
    <t>ACT Fibernet</t>
  </si>
  <si>
    <t>EXP-02645</t>
  </si>
  <si>
    <t>EXP-02646</t>
  </si>
  <si>
    <t>EXP-02647</t>
  </si>
  <si>
    <t>EXP-02648</t>
  </si>
  <si>
    <t>EXP-02649</t>
  </si>
  <si>
    <t>EXP-02650</t>
  </si>
  <si>
    <t>EXP-02651</t>
  </si>
  <si>
    <t>EXP-02652</t>
  </si>
  <si>
    <t>EXP-02653</t>
  </si>
  <si>
    <t>EXP-02654</t>
  </si>
  <si>
    <t>EXP-02655</t>
  </si>
  <si>
    <t>EXP-02656</t>
  </si>
  <si>
    <t>EXP-02657</t>
  </si>
  <si>
    <t>EXP-02658</t>
  </si>
  <si>
    <t>EXP-02659</t>
  </si>
  <si>
    <t>EXP-02660</t>
  </si>
  <si>
    <t>EXP-02661</t>
  </si>
  <si>
    <t>EXP-02662</t>
  </si>
  <si>
    <t>EXP-02663</t>
  </si>
  <si>
    <t>EXP-02664</t>
  </si>
  <si>
    <t>EXP-02665</t>
  </si>
  <si>
    <t>EXP-02666</t>
  </si>
  <si>
    <t>EXP-02667</t>
  </si>
  <si>
    <t>EXP-02668</t>
  </si>
  <si>
    <t>EXP-02669</t>
  </si>
  <si>
    <t>EXP-02670</t>
  </si>
  <si>
    <t>EXP-02671</t>
  </si>
  <si>
    <t>EXP-02672</t>
  </si>
  <si>
    <t>EXP-02673</t>
  </si>
  <si>
    <t>EXP-02674</t>
  </si>
  <si>
    <t>EXP-02675</t>
  </si>
  <si>
    <t>EXP-02676</t>
  </si>
  <si>
    <t>EXP-02677</t>
  </si>
  <si>
    <t>EXP-02678</t>
  </si>
  <si>
    <t>EXP-02679</t>
  </si>
  <si>
    <t>EXP-02680</t>
  </si>
  <si>
    <t>EXP-02681</t>
  </si>
  <si>
    <t>EXP-02682</t>
  </si>
  <si>
    <t>EXP-02683</t>
  </si>
  <si>
    <t>EXP-02684</t>
  </si>
  <si>
    <t>EXP-02685</t>
  </si>
  <si>
    <t>EXP-02686</t>
  </si>
  <si>
    <t>EXP-02687</t>
  </si>
  <si>
    <t>EXP-02688</t>
  </si>
  <si>
    <t>EXP-02689</t>
  </si>
  <si>
    <t>EXP-02690</t>
  </si>
  <si>
    <t>EXP-02691</t>
  </si>
  <si>
    <t>EXP-02692</t>
  </si>
  <si>
    <t>EXP-02693</t>
  </si>
  <si>
    <t>EXP-02694</t>
  </si>
  <si>
    <t>EXP-02695</t>
  </si>
  <si>
    <t>EXP-02696</t>
  </si>
  <si>
    <t>EXP-02697</t>
  </si>
  <si>
    <t>EXP-02698</t>
  </si>
  <si>
    <t>EXP-02699</t>
  </si>
  <si>
    <t>EXP-02700</t>
  </si>
  <si>
    <t>EXP-02701</t>
  </si>
  <si>
    <t>EXP-02702</t>
  </si>
  <si>
    <t>EXP-02703</t>
  </si>
  <si>
    <t>EXP-02704</t>
  </si>
  <si>
    <t>EXP-02705</t>
  </si>
  <si>
    <t>EXP-02706</t>
  </si>
  <si>
    <t>EXP-02707</t>
  </si>
  <si>
    <t>Apple Store</t>
  </si>
  <si>
    <t>EXP-02708</t>
  </si>
  <si>
    <t>EXP-02709</t>
  </si>
  <si>
    <t>EXP-02710</t>
  </si>
  <si>
    <t>EXP-02711</t>
  </si>
  <si>
    <t>EXP-02712</t>
  </si>
  <si>
    <t>EXP-02713</t>
  </si>
  <si>
    <t>EXP-02714</t>
  </si>
  <si>
    <t>EXP-02715</t>
  </si>
  <si>
    <t>EXP-02716</t>
  </si>
  <si>
    <t>EXP-02717</t>
  </si>
  <si>
    <t>EXP-02718</t>
  </si>
  <si>
    <t>EXP-02719</t>
  </si>
  <si>
    <t>EXP-02720</t>
  </si>
  <si>
    <t>EXP-02721</t>
  </si>
  <si>
    <t>EXP-02722</t>
  </si>
  <si>
    <t>EXP-02723</t>
  </si>
  <si>
    <t>EXP-02724</t>
  </si>
  <si>
    <t>EXP-02725</t>
  </si>
  <si>
    <t>EXP-02726</t>
  </si>
  <si>
    <t>EXP-02727</t>
  </si>
  <si>
    <t>EXP-02728</t>
  </si>
  <si>
    <t>EXP-02729</t>
  </si>
  <si>
    <t>EXP-02730</t>
  </si>
  <si>
    <t>EXP-02731</t>
  </si>
  <si>
    <t>EXP-02732</t>
  </si>
  <si>
    <t>EXP-02733</t>
  </si>
  <si>
    <t>EXP-02734</t>
  </si>
  <si>
    <t>EXP-02735</t>
  </si>
  <si>
    <t>EXP-02736</t>
  </si>
  <si>
    <t>EXP-02737</t>
  </si>
  <si>
    <t>EXP-02738</t>
  </si>
  <si>
    <t>EXP-02739</t>
  </si>
  <si>
    <t>EXP-02740</t>
  </si>
  <si>
    <t>EXP-02741</t>
  </si>
  <si>
    <t>EXP-02742</t>
  </si>
  <si>
    <t>EXP-02743</t>
  </si>
  <si>
    <t>EXP-02744</t>
  </si>
  <si>
    <t>EXP-02745</t>
  </si>
  <si>
    <t>EXP-02746</t>
  </si>
  <si>
    <t>EXP-02747</t>
  </si>
  <si>
    <t>EXP-02748</t>
  </si>
  <si>
    <t>EXP-02749</t>
  </si>
  <si>
    <t>EXP-02750</t>
  </si>
  <si>
    <t>EXP-02751</t>
  </si>
  <si>
    <t>EXP-02752</t>
  </si>
  <si>
    <t>EXP-02753</t>
  </si>
  <si>
    <t>EXP-02754</t>
  </si>
  <si>
    <t>EXP-02755</t>
  </si>
  <si>
    <t>EXP-02756</t>
  </si>
  <si>
    <t>EXP-02757</t>
  </si>
  <si>
    <t>EXP-02758</t>
  </si>
  <si>
    <t>EXP-02759</t>
  </si>
  <si>
    <t>EXP-02760</t>
  </si>
  <si>
    <t>EXP-02761</t>
  </si>
  <si>
    <t>EXP-02762</t>
  </si>
  <si>
    <t>EXP-02763</t>
  </si>
  <si>
    <t>EXP-02764</t>
  </si>
  <si>
    <t>EXP-02765</t>
  </si>
  <si>
    <t>EXP-02766</t>
  </si>
  <si>
    <t>EXP-02767</t>
  </si>
  <si>
    <t>EXP-02768</t>
  </si>
  <si>
    <t>EXP-02769</t>
  </si>
  <si>
    <t>EXP-02770</t>
  </si>
  <si>
    <t>EXP-02771</t>
  </si>
  <si>
    <t>EXP-02772</t>
  </si>
  <si>
    <t>EXP-02773</t>
  </si>
  <si>
    <t>EXP-02774</t>
  </si>
  <si>
    <t>EXP-02775</t>
  </si>
  <si>
    <t>EXP-02776</t>
  </si>
  <si>
    <t>EXP-02777</t>
  </si>
  <si>
    <t>EXP-02778</t>
  </si>
  <si>
    <t>EXP-02779</t>
  </si>
  <si>
    <t>EXP-02780</t>
  </si>
  <si>
    <t>EXP-02781</t>
  </si>
  <si>
    <t>EXP-02782</t>
  </si>
  <si>
    <t>EXP-02783</t>
  </si>
  <si>
    <t>EXP-02784</t>
  </si>
  <si>
    <t>EXP-02785</t>
  </si>
  <si>
    <t>EXP-02786</t>
  </si>
  <si>
    <t>EXP-02787</t>
  </si>
  <si>
    <t>EXP-02788</t>
  </si>
  <si>
    <t>EXP-02789</t>
  </si>
  <si>
    <t>EXP-02790</t>
  </si>
  <si>
    <t>EXP-02791</t>
  </si>
  <si>
    <t>EXP-02792</t>
  </si>
  <si>
    <t>EXP-02793</t>
  </si>
  <si>
    <t>EXP-02794</t>
  </si>
  <si>
    <t>EXP-02795</t>
  </si>
  <si>
    <t>EXP-02796</t>
  </si>
  <si>
    <t>EXP-02797</t>
  </si>
  <si>
    <t>EXP-02798</t>
  </si>
  <si>
    <t>EXP-02799</t>
  </si>
  <si>
    <t>EXP-02800</t>
  </si>
  <si>
    <t>EXP-02801</t>
  </si>
  <si>
    <t>EXP-02802</t>
  </si>
  <si>
    <t>EXP-02803</t>
  </si>
  <si>
    <t>EXP-02804</t>
  </si>
  <si>
    <t>EXP-02805</t>
  </si>
  <si>
    <t>EXP-02806</t>
  </si>
  <si>
    <t>EXP-02807</t>
  </si>
  <si>
    <t>EXP-02808</t>
  </si>
  <si>
    <t>EXP-02809</t>
  </si>
  <si>
    <t>EXP-02810</t>
  </si>
  <si>
    <t>EXP-02811</t>
  </si>
  <si>
    <t>EXP-02812</t>
  </si>
  <si>
    <t>EXP-02813</t>
  </si>
  <si>
    <t>EXP-02814</t>
  </si>
  <si>
    <t>EXP-02815</t>
  </si>
  <si>
    <t>EXP-02816</t>
  </si>
  <si>
    <t>EXP-02817</t>
  </si>
  <si>
    <t>EXP-02818</t>
  </si>
  <si>
    <t>EXP-02819</t>
  </si>
  <si>
    <t>EXP-02820</t>
  </si>
  <si>
    <t>EXP-02821</t>
  </si>
  <si>
    <t>EXP-02822</t>
  </si>
  <si>
    <t>EXP-02823</t>
  </si>
  <si>
    <t>EXP-02824</t>
  </si>
  <si>
    <t>EXP-02825</t>
  </si>
  <si>
    <t>EXP-02826</t>
  </si>
  <si>
    <t>EXP-02827</t>
  </si>
  <si>
    <t>EXP-02828</t>
  </si>
  <si>
    <t>EXP-02829</t>
  </si>
  <si>
    <t>EXP-02830</t>
  </si>
  <si>
    <t>EXP-02831</t>
  </si>
  <si>
    <t>EXP-02832</t>
  </si>
  <si>
    <t>EXP-02833</t>
  </si>
  <si>
    <t>EXP-02834</t>
  </si>
  <si>
    <t>EXP-02835</t>
  </si>
  <si>
    <t>EXP-02836</t>
  </si>
  <si>
    <t>EXP-02837</t>
  </si>
  <si>
    <t>EXP-02838</t>
  </si>
  <si>
    <t>EXP-02839</t>
  </si>
  <si>
    <t>EXP-02840</t>
  </si>
  <si>
    <t>EXP-02841</t>
  </si>
  <si>
    <t>EXP-02842</t>
  </si>
  <si>
    <t>EXP-02843</t>
  </si>
  <si>
    <t>Logitech</t>
  </si>
  <si>
    <t>EXP-02844</t>
  </si>
  <si>
    <t>EXP-02845</t>
  </si>
  <si>
    <t>EXP-02846</t>
  </si>
  <si>
    <t>EXP-02847</t>
  </si>
  <si>
    <t>EXP-02848</t>
  </si>
  <si>
    <t>EXP-02849</t>
  </si>
  <si>
    <t>EXP-02850</t>
  </si>
  <si>
    <t>EXP-02851</t>
  </si>
  <si>
    <t>EXP-02852</t>
  </si>
  <si>
    <t>EXP-02853</t>
  </si>
  <si>
    <t>EXP-02854</t>
  </si>
  <si>
    <t>EXP-02855</t>
  </si>
  <si>
    <t>EXP-02856</t>
  </si>
  <si>
    <t>EXP-02857</t>
  </si>
  <si>
    <t>EXP-02858</t>
  </si>
  <si>
    <t>EXP-02859</t>
  </si>
  <si>
    <t>EXP-02860</t>
  </si>
  <si>
    <t>EXP-02861</t>
  </si>
  <si>
    <t>EXP-02862</t>
  </si>
  <si>
    <t>EXP-02863</t>
  </si>
  <si>
    <t>EXP-02864</t>
  </si>
  <si>
    <t>EXP-02865</t>
  </si>
  <si>
    <t>EXP-02866</t>
  </si>
  <si>
    <t>EXP-02867</t>
  </si>
  <si>
    <t>EXP-02868</t>
  </si>
  <si>
    <t>EXP-02869</t>
  </si>
  <si>
    <t>EXP-02870</t>
  </si>
  <si>
    <t>EXP-02871</t>
  </si>
  <si>
    <t>EXP-02872</t>
  </si>
  <si>
    <t>EXP-02873</t>
  </si>
  <si>
    <t>EXP-02874</t>
  </si>
  <si>
    <t>EXP-02875</t>
  </si>
  <si>
    <t>EXP-02876</t>
  </si>
  <si>
    <t>EXP-02877</t>
  </si>
  <si>
    <t>EXP-02878</t>
  </si>
  <si>
    <t>EXP-02879</t>
  </si>
  <si>
    <t>EXP-02880</t>
  </si>
  <si>
    <t>EXP-02881</t>
  </si>
  <si>
    <t>EXP-02882</t>
  </si>
  <si>
    <t>EXP-02883</t>
  </si>
  <si>
    <t>EXP-02884</t>
  </si>
  <si>
    <t>EXP-02885</t>
  </si>
  <si>
    <t>EXP-02886</t>
  </si>
  <si>
    <t>EXP-02887</t>
  </si>
  <si>
    <t>EXP-02888</t>
  </si>
  <si>
    <t>EXP-02889</t>
  </si>
  <si>
    <t>EXP-02890</t>
  </si>
  <si>
    <t>EXP-02891</t>
  </si>
  <si>
    <t>EXP-02892</t>
  </si>
  <si>
    <t>EXP-02893</t>
  </si>
  <si>
    <t>EXP-02894</t>
  </si>
  <si>
    <t>EXP-02895</t>
  </si>
  <si>
    <t>EXP-02896</t>
  </si>
  <si>
    <t>EXP-02897</t>
  </si>
  <si>
    <t>EXP-02898</t>
  </si>
  <si>
    <t>EXP-02899</t>
  </si>
  <si>
    <t>EXP-02900</t>
  </si>
  <si>
    <t>EXP-02901</t>
  </si>
  <si>
    <t>EXP-02902</t>
  </si>
  <si>
    <t>EXP-02903</t>
  </si>
  <si>
    <t>EXP-02904</t>
  </si>
  <si>
    <t>EXP-02905</t>
  </si>
  <si>
    <t>EXP-02906</t>
  </si>
  <si>
    <t>EXP-02907</t>
  </si>
  <si>
    <t>EXP-02908</t>
  </si>
  <si>
    <t>EXP-02909</t>
  </si>
  <si>
    <t>EXP-02910</t>
  </si>
  <si>
    <t>EXP-02911</t>
  </si>
  <si>
    <t>EXP-02912</t>
  </si>
  <si>
    <t>EXP-02913</t>
  </si>
  <si>
    <t>EXP-02914</t>
  </si>
  <si>
    <t>EXP-02915</t>
  </si>
  <si>
    <t>EXP-02916</t>
  </si>
  <si>
    <t>EXP-02917</t>
  </si>
  <si>
    <t>EXP-02918</t>
  </si>
  <si>
    <t>EXP-02919</t>
  </si>
  <si>
    <t>EXP-02920</t>
  </si>
  <si>
    <t>EXP-02921</t>
  </si>
  <si>
    <t>EXP-02922</t>
  </si>
  <si>
    <t>EXP-02923</t>
  </si>
  <si>
    <t>EXP-02924</t>
  </si>
  <si>
    <t>EXP-02925</t>
  </si>
  <si>
    <t>EXP-02926</t>
  </si>
  <si>
    <t>EXP-02927</t>
  </si>
  <si>
    <t>EXP-02928</t>
  </si>
  <si>
    <t>EXP-02929</t>
  </si>
  <si>
    <t>EXP-02930</t>
  </si>
  <si>
    <t>EXP-02931</t>
  </si>
  <si>
    <t>EXP-02932</t>
  </si>
  <si>
    <t>EXP-02933</t>
  </si>
  <si>
    <t>EXP-02934</t>
  </si>
  <si>
    <t>EXP-02935</t>
  </si>
  <si>
    <t>EXP-02936</t>
  </si>
  <si>
    <t>EXP-02937</t>
  </si>
  <si>
    <t>EXP-02938</t>
  </si>
  <si>
    <t>EXP-02939</t>
  </si>
  <si>
    <t>EXP-02940</t>
  </si>
  <si>
    <t>EXP-02941</t>
  </si>
  <si>
    <t>EXP-02942</t>
  </si>
  <si>
    <t>EXP-02943</t>
  </si>
  <si>
    <t>EXP-02944</t>
  </si>
  <si>
    <t>EXP-02945</t>
  </si>
  <si>
    <t>EXP-02946</t>
  </si>
  <si>
    <t>EXP-02947</t>
  </si>
  <si>
    <t>EXP-02948</t>
  </si>
  <si>
    <t>EXP-02949</t>
  </si>
  <si>
    <t>EXP-02950</t>
  </si>
  <si>
    <t>EXP-02951</t>
  </si>
  <si>
    <t>EXP-02952</t>
  </si>
  <si>
    <t>EXP-02953</t>
  </si>
  <si>
    <t>EXP-02954</t>
  </si>
  <si>
    <t>EXP-02955</t>
  </si>
  <si>
    <t>EXP-02956</t>
  </si>
  <si>
    <t>EXP-02957</t>
  </si>
  <si>
    <t>EXP-02958</t>
  </si>
  <si>
    <t>EXP-02959</t>
  </si>
  <si>
    <t>EXP-02960</t>
  </si>
  <si>
    <t>EXP-02961</t>
  </si>
  <si>
    <t>EXP-02962</t>
  </si>
  <si>
    <t>EXP-02963</t>
  </si>
  <si>
    <t>EXP-02964</t>
  </si>
  <si>
    <t>EXP-02965</t>
  </si>
  <si>
    <t>EXP-02966</t>
  </si>
  <si>
    <t>EXP-02967</t>
  </si>
  <si>
    <t>EXP-02968</t>
  </si>
  <si>
    <t>EXP-02969</t>
  </si>
  <si>
    <t>EXP-02970</t>
  </si>
  <si>
    <t>EXP-02971</t>
  </si>
  <si>
    <t>EXP-02972</t>
  </si>
  <si>
    <t>EXP-02973</t>
  </si>
  <si>
    <t>EXP-02974</t>
  </si>
  <si>
    <t>EXP-02975</t>
  </si>
  <si>
    <t>EXP-02976</t>
  </si>
  <si>
    <t>EXP-02977</t>
  </si>
  <si>
    <t>EXP-02978</t>
  </si>
  <si>
    <t>EXP-02979</t>
  </si>
  <si>
    <t>EXP-02980</t>
  </si>
  <si>
    <t>EXP-02981</t>
  </si>
  <si>
    <t>EXP-02982</t>
  </si>
  <si>
    <t>EXP-02983</t>
  </si>
  <si>
    <t>EXP-02984</t>
  </si>
  <si>
    <t>EXP-02985</t>
  </si>
  <si>
    <t>EXP-02986</t>
  </si>
  <si>
    <t>EXP-02987</t>
  </si>
  <si>
    <t>EXP-02988</t>
  </si>
  <si>
    <t>EXP-02989</t>
  </si>
  <si>
    <t>EXP-02990</t>
  </si>
  <si>
    <t>EXP-02991</t>
  </si>
  <si>
    <t>EXP-02992</t>
  </si>
  <si>
    <t>EXP-02993</t>
  </si>
  <si>
    <t>EXP-02994</t>
  </si>
  <si>
    <t>EXP-02995</t>
  </si>
  <si>
    <t>EXP-02996</t>
  </si>
  <si>
    <t>EXP-02997</t>
  </si>
  <si>
    <t>EXP-02998</t>
  </si>
  <si>
    <t>EXP-02999</t>
  </si>
  <si>
    <t>EXP-03000</t>
  </si>
  <si>
    <t>EXP-03001</t>
  </si>
  <si>
    <t>EXP-03002</t>
  </si>
  <si>
    <t>EXP-03003</t>
  </si>
  <si>
    <t>EXP-03004</t>
  </si>
  <si>
    <t>EXP-03005</t>
  </si>
  <si>
    <t>EXP-03006</t>
  </si>
  <si>
    <t>EXP-03007</t>
  </si>
  <si>
    <t>EXP-03008</t>
  </si>
  <si>
    <t>EXP-03009</t>
  </si>
  <si>
    <t>EXP-03010</t>
  </si>
  <si>
    <t>EXP-03011</t>
  </si>
  <si>
    <t>EXP-03012</t>
  </si>
  <si>
    <t>EXP-03013</t>
  </si>
  <si>
    <t>EXP-03014</t>
  </si>
  <si>
    <t>EXP-03015</t>
  </si>
  <si>
    <t>EXP-03016</t>
  </si>
  <si>
    <t>EXP-03017</t>
  </si>
  <si>
    <t>EXP-03018</t>
  </si>
  <si>
    <t>EXP-03019</t>
  </si>
  <si>
    <t>EXP-03020</t>
  </si>
  <si>
    <t>EXP-03021</t>
  </si>
  <si>
    <t>EXP-03022</t>
  </si>
  <si>
    <t>EXP-03023</t>
  </si>
  <si>
    <t>EXP-03024</t>
  </si>
  <si>
    <t>EXP-03025</t>
  </si>
  <si>
    <t>EXP-03026</t>
  </si>
  <si>
    <t>EXP-03027</t>
  </si>
  <si>
    <t>EXP-03028</t>
  </si>
  <si>
    <t>EXP-03029</t>
  </si>
  <si>
    <t>EXP-03030</t>
  </si>
  <si>
    <t>EXP-03031</t>
  </si>
  <si>
    <t>EXP-03032</t>
  </si>
  <si>
    <t>EXP-03033</t>
  </si>
  <si>
    <t>EXP-03034</t>
  </si>
  <si>
    <t>EXP-03035</t>
  </si>
  <si>
    <t>EXP-03036</t>
  </si>
  <si>
    <t>EXP-03037</t>
  </si>
  <si>
    <t>EXP-03038</t>
  </si>
  <si>
    <t>EXP-03039</t>
  </si>
  <si>
    <t>EXP-03040</t>
  </si>
  <si>
    <t>EXP-03041</t>
  </si>
  <si>
    <t>EXP-03042</t>
  </si>
  <si>
    <t>EXP-03043</t>
  </si>
  <si>
    <t>EXP-03044</t>
  </si>
  <si>
    <t>EXP-03045</t>
  </si>
  <si>
    <t>EXP-03046</t>
  </si>
  <si>
    <t>EXP-03047</t>
  </si>
  <si>
    <t>EXP-03048</t>
  </si>
  <si>
    <t>EXP-03049</t>
  </si>
  <si>
    <t>EXP-03050</t>
  </si>
  <si>
    <t>EXP-03051</t>
  </si>
  <si>
    <t>EXP-03052</t>
  </si>
  <si>
    <t>EXP-03053</t>
  </si>
  <si>
    <t>EXP-03054</t>
  </si>
  <si>
    <t>EXP-03055</t>
  </si>
  <si>
    <t>EXP-03056</t>
  </si>
  <si>
    <t>EXP-03057</t>
  </si>
  <si>
    <t>EXP-03058</t>
  </si>
  <si>
    <t>EXP-03059</t>
  </si>
  <si>
    <t>EXP-03060</t>
  </si>
  <si>
    <t>EXP-03061</t>
  </si>
  <si>
    <t>EXP-03062</t>
  </si>
  <si>
    <t>EXP-03063</t>
  </si>
  <si>
    <t>EXP-03064</t>
  </si>
  <si>
    <t>EXP-03065</t>
  </si>
  <si>
    <t>EXP-03066</t>
  </si>
  <si>
    <t>EXP-03067</t>
  </si>
  <si>
    <t>EXP-03068</t>
  </si>
  <si>
    <t>EXP-03069</t>
  </si>
  <si>
    <t>EXP-03070</t>
  </si>
  <si>
    <t>EXP-03071</t>
  </si>
  <si>
    <t>EXP-03072</t>
  </si>
  <si>
    <t>EXP-03073</t>
  </si>
  <si>
    <t>EXP-03074</t>
  </si>
  <si>
    <t>EXP-03075</t>
  </si>
  <si>
    <t>EXP-03076</t>
  </si>
  <si>
    <t>EXP-03077</t>
  </si>
  <si>
    <t>EXP-03078</t>
  </si>
  <si>
    <t>EXP-03079</t>
  </si>
  <si>
    <t>EXP-03080</t>
  </si>
  <si>
    <t>EXP-03081</t>
  </si>
  <si>
    <t>EXP-03082</t>
  </si>
  <si>
    <t>EXP-03083</t>
  </si>
  <si>
    <t>EXP-03084</t>
  </si>
  <si>
    <t>EXP-03085</t>
  </si>
  <si>
    <t>EXP-03086</t>
  </si>
  <si>
    <t>EXP-03087</t>
  </si>
  <si>
    <t>EXP-03088</t>
  </si>
  <si>
    <t>EXP-03089</t>
  </si>
  <si>
    <t>EXP-03090</t>
  </si>
  <si>
    <t>EXP-03091</t>
  </si>
  <si>
    <t>EXP-03092</t>
  </si>
  <si>
    <t>EXP-03093</t>
  </si>
  <si>
    <t>EXP-03094</t>
  </si>
  <si>
    <t>EXP-03095</t>
  </si>
  <si>
    <t>EXP-03096</t>
  </si>
  <si>
    <t>EXP-03097</t>
  </si>
  <si>
    <t>EXP-03098</t>
  </si>
  <si>
    <t>EXP-03099</t>
  </si>
  <si>
    <t>EXP-03100</t>
  </si>
  <si>
    <t>EXP-03101</t>
  </si>
  <si>
    <t>EXP-03102</t>
  </si>
  <si>
    <t>EXP-03103</t>
  </si>
  <si>
    <t>EXP-03104</t>
  </si>
  <si>
    <t>EXP-03105</t>
  </si>
  <si>
    <t>EXP-03106</t>
  </si>
  <si>
    <t>EXP-03107</t>
  </si>
  <si>
    <t>EXP-03108</t>
  </si>
  <si>
    <t>EXP-03109</t>
  </si>
  <si>
    <t>EXP-03110</t>
  </si>
  <si>
    <t>EXP-03111</t>
  </si>
  <si>
    <t>EXP-03112</t>
  </si>
  <si>
    <t>EXP-03113</t>
  </si>
  <si>
    <t>EXP-03114</t>
  </si>
  <si>
    <t>EXP-03115</t>
  </si>
  <si>
    <t>EXP-03116</t>
  </si>
  <si>
    <t>EXP-03117</t>
  </si>
  <si>
    <t>EXP-03118</t>
  </si>
  <si>
    <t>EXP-03119</t>
  </si>
  <si>
    <t>EXP-03120</t>
  </si>
  <si>
    <t>EXP-03121</t>
  </si>
  <si>
    <t>EXP-03122</t>
  </si>
  <si>
    <t>EXP-03123</t>
  </si>
  <si>
    <t>EXP-03124</t>
  </si>
  <si>
    <t>EXP-03125</t>
  </si>
  <si>
    <t>EXP-03126</t>
  </si>
  <si>
    <t>EXP-03127</t>
  </si>
  <si>
    <t>EXP-03128</t>
  </si>
  <si>
    <t>EXP-03129</t>
  </si>
  <si>
    <t>EXP-03130</t>
  </si>
  <si>
    <t>EXP-03131</t>
  </si>
  <si>
    <t>EXP-03132</t>
  </si>
  <si>
    <t>EXP-03133</t>
  </si>
  <si>
    <t>EXP-03134</t>
  </si>
  <si>
    <t>EXP-03135</t>
  </si>
  <si>
    <t>EXP-03136</t>
  </si>
  <si>
    <t>EXP-03137</t>
  </si>
  <si>
    <t>EXP-03138</t>
  </si>
  <si>
    <t>EXP-03139</t>
  </si>
  <si>
    <t>EXP-03140</t>
  </si>
  <si>
    <t>EXP-03141</t>
  </si>
  <si>
    <t>EXP-03142</t>
  </si>
  <si>
    <t>EXP-03143</t>
  </si>
  <si>
    <t>EXP-03144</t>
  </si>
  <si>
    <t>EXP-03145</t>
  </si>
  <si>
    <t>EXP-03146</t>
  </si>
  <si>
    <t>EXP-03147</t>
  </si>
  <si>
    <t>EXP-03148</t>
  </si>
  <si>
    <t>EXP-03149</t>
  </si>
  <si>
    <t>EXP-03150</t>
  </si>
  <si>
    <t>EXP-03151</t>
  </si>
  <si>
    <t>EXP-03152</t>
  </si>
  <si>
    <t>EXP-03153</t>
  </si>
  <si>
    <t>EXP-03154</t>
  </si>
  <si>
    <t>EXP-03155</t>
  </si>
  <si>
    <t>EXP-03156</t>
  </si>
  <si>
    <t>EXP-03157</t>
  </si>
  <si>
    <t>EXP-03158</t>
  </si>
  <si>
    <t>EXP-03159</t>
  </si>
  <si>
    <t>EXP-03160</t>
  </si>
  <si>
    <t>EXP-03161</t>
  </si>
  <si>
    <t>EXP-03162</t>
  </si>
  <si>
    <t>EXP-03163</t>
  </si>
  <si>
    <t>EXP-03164</t>
  </si>
  <si>
    <t>EXP-03165</t>
  </si>
  <si>
    <t>EXP-03166</t>
  </si>
  <si>
    <t>EXP-03167</t>
  </si>
  <si>
    <t>EXP-03168</t>
  </si>
  <si>
    <t>EXP-03169</t>
  </si>
  <si>
    <t>EXP-03170</t>
  </si>
  <si>
    <t>EXP-03171</t>
  </si>
  <si>
    <t>EXP-03172</t>
  </si>
  <si>
    <t>EXP-03173</t>
  </si>
  <si>
    <t>EXP-03174</t>
  </si>
  <si>
    <t>EXP-03175</t>
  </si>
  <si>
    <t>EXP-03176</t>
  </si>
  <si>
    <t>EXP-03177</t>
  </si>
  <si>
    <t>EXP-03178</t>
  </si>
  <si>
    <t>EXP-03179</t>
  </si>
  <si>
    <t>EXP-03180</t>
  </si>
  <si>
    <t>EXP-03181</t>
  </si>
  <si>
    <t>EXP-03182</t>
  </si>
  <si>
    <t>EXP-03183</t>
  </si>
  <si>
    <t>EXP-03184</t>
  </si>
  <si>
    <t>EXP-03185</t>
  </si>
  <si>
    <t>EXP-03186</t>
  </si>
  <si>
    <t>EXP-03187</t>
  </si>
  <si>
    <t>EXP-03188</t>
  </si>
  <si>
    <t>EXP-03189</t>
  </si>
  <si>
    <t>EXP-03190</t>
  </si>
  <si>
    <t>EXP-03191</t>
  </si>
  <si>
    <t>EXP-03192</t>
  </si>
  <si>
    <t>EXP-03193</t>
  </si>
  <si>
    <t>EXP-03194</t>
  </si>
  <si>
    <t>EXP-03195</t>
  </si>
  <si>
    <t>EXP-03196</t>
  </si>
  <si>
    <t>EXP-03197</t>
  </si>
  <si>
    <t>EXP-03198</t>
  </si>
  <si>
    <t>EXP-03199</t>
  </si>
  <si>
    <t>EXP-03200</t>
  </si>
  <si>
    <t>EXP-03201</t>
  </si>
  <si>
    <t>EXP-03202</t>
  </si>
  <si>
    <t>EXP-03203</t>
  </si>
  <si>
    <t>EXP-03204</t>
  </si>
  <si>
    <t>EXP-03205</t>
  </si>
  <si>
    <t>EXP-03206</t>
  </si>
  <si>
    <t>EXP-03207</t>
  </si>
  <si>
    <t>EXP-03208</t>
  </si>
  <si>
    <t>EXP-03209</t>
  </si>
  <si>
    <t>EXP-03210</t>
  </si>
  <si>
    <t>EXP-03211</t>
  </si>
  <si>
    <t>EXP-03212</t>
  </si>
  <si>
    <t>EXP-03213</t>
  </si>
  <si>
    <t>EXP-03214</t>
  </si>
  <si>
    <t>EXP-03215</t>
  </si>
  <si>
    <t>EXP-03216</t>
  </si>
  <si>
    <t>EXP-03217</t>
  </si>
  <si>
    <t>EXP-03218</t>
  </si>
  <si>
    <t>EXP-03219</t>
  </si>
  <si>
    <t>EXP-03220</t>
  </si>
  <si>
    <t>EXP-03221</t>
  </si>
  <si>
    <t>EXP-03222</t>
  </si>
  <si>
    <t>EXP-03223</t>
  </si>
  <si>
    <t>EXP-03224</t>
  </si>
  <si>
    <t>EXP-03225</t>
  </si>
  <si>
    <t>EXP-03226</t>
  </si>
  <si>
    <t>EXP-03227</t>
  </si>
  <si>
    <t>EXP-03228</t>
  </si>
  <si>
    <t>EXP-03229</t>
  </si>
  <si>
    <t>EXP-03230</t>
  </si>
  <si>
    <t>EXP-03231</t>
  </si>
  <si>
    <t>EXP-03232</t>
  </si>
  <si>
    <t>EXP-03233</t>
  </si>
  <si>
    <t>EXP-03234</t>
  </si>
  <si>
    <t>EXP-03235</t>
  </si>
  <si>
    <t>EXP-03236</t>
  </si>
  <si>
    <t>EXP-03237</t>
  </si>
  <si>
    <t>EXP-03238</t>
  </si>
  <si>
    <t>EXP-03239</t>
  </si>
  <si>
    <t>EXP-03240</t>
  </si>
  <si>
    <t>EXP-03241</t>
  </si>
  <si>
    <t>EXP-03242</t>
  </si>
  <si>
    <t>EXP-03243</t>
  </si>
  <si>
    <t>EXP-03244</t>
  </si>
  <si>
    <t>EXP-03245</t>
  </si>
  <si>
    <t>EXP-03246</t>
  </si>
  <si>
    <t>EXP-03247</t>
  </si>
  <si>
    <t>EXP-03248</t>
  </si>
  <si>
    <t>EXP-03249</t>
  </si>
  <si>
    <t>EXP-03250</t>
  </si>
  <si>
    <t>EXP-03251</t>
  </si>
  <si>
    <t>EXP-03252</t>
  </si>
  <si>
    <t>EXP-03253</t>
  </si>
  <si>
    <t>EXP-03254</t>
  </si>
  <si>
    <t>EXP-03255</t>
  </si>
  <si>
    <t>EXP-03256</t>
  </si>
  <si>
    <t>EXP-03257</t>
  </si>
  <si>
    <t>EXP-03258</t>
  </si>
  <si>
    <t>EXP-03259</t>
  </si>
  <si>
    <t>EXP-03260</t>
  </si>
  <si>
    <t>EXP-03261</t>
  </si>
  <si>
    <t>EXP-03262</t>
  </si>
  <si>
    <t>EXP-03263</t>
  </si>
  <si>
    <t>EXP-03264</t>
  </si>
  <si>
    <t>EXP-03265</t>
  </si>
  <si>
    <t>EXP-03266</t>
  </si>
  <si>
    <t>EXP-03267</t>
  </si>
  <si>
    <t>EXP-03268</t>
  </si>
  <si>
    <t>EXP-03269</t>
  </si>
  <si>
    <t>EXP-03270</t>
  </si>
  <si>
    <t>EXP-03271</t>
  </si>
  <si>
    <t>EXP-03272</t>
  </si>
  <si>
    <t>EXP-03273</t>
  </si>
  <si>
    <t>EXP-03274</t>
  </si>
  <si>
    <t>EXP-03275</t>
  </si>
  <si>
    <t>EXP-03276</t>
  </si>
  <si>
    <t>EXP-03277</t>
  </si>
  <si>
    <t>EXP-03278</t>
  </si>
  <si>
    <t>EXP-03279</t>
  </si>
  <si>
    <t>EXP-03280</t>
  </si>
  <si>
    <t>EXP-03281</t>
  </si>
  <si>
    <t>EXP-03282</t>
  </si>
  <si>
    <t>EXP-03283</t>
  </si>
  <si>
    <t>EXP-03284</t>
  </si>
  <si>
    <t>EXP-03285</t>
  </si>
  <si>
    <t>EXP-03286</t>
  </si>
  <si>
    <t>EXP-03287</t>
  </si>
  <si>
    <t>EXP-03288</t>
  </si>
  <si>
    <t>EXP-03289</t>
  </si>
  <si>
    <t>EXP-03290</t>
  </si>
  <si>
    <t>EXP-03291</t>
  </si>
  <si>
    <t>EXP-03292</t>
  </si>
  <si>
    <t>EXP-03293</t>
  </si>
  <si>
    <t>EXP-03294</t>
  </si>
  <si>
    <t>EXP-03295</t>
  </si>
  <si>
    <t>EXP-03296</t>
  </si>
  <si>
    <t>EXP-03297</t>
  </si>
  <si>
    <t>EXP-03298</t>
  </si>
  <si>
    <t>EXP-03299</t>
  </si>
  <si>
    <t>EXP-03300</t>
  </si>
  <si>
    <t>EXP-03301</t>
  </si>
  <si>
    <t>EXP-03302</t>
  </si>
  <si>
    <t>EXP-03303</t>
  </si>
  <si>
    <t>EXP-03304</t>
  </si>
  <si>
    <t>EXP-03305</t>
  </si>
  <si>
    <t>EXP-03306</t>
  </si>
  <si>
    <t>EXP-03307</t>
  </si>
  <si>
    <t>EXP-03308</t>
  </si>
  <si>
    <t>EXP-03309</t>
  </si>
  <si>
    <t>EXP-03310</t>
  </si>
  <si>
    <t>EXP-03311</t>
  </si>
  <si>
    <t>EXP-03312</t>
  </si>
  <si>
    <t>EXP-03313</t>
  </si>
  <si>
    <t>EXP-03314</t>
  </si>
  <si>
    <t>EXP-03315</t>
  </si>
  <si>
    <t>EXP-03316</t>
  </si>
  <si>
    <t>EXP-03317</t>
  </si>
  <si>
    <t>EXP-03318</t>
  </si>
  <si>
    <t>EXP-03319</t>
  </si>
  <si>
    <t>EXP-03320</t>
  </si>
  <si>
    <t>EXP-03321</t>
  </si>
  <si>
    <t>EXP-03322</t>
  </si>
  <si>
    <t>EXP-03323</t>
  </si>
  <si>
    <t>EXP-03324</t>
  </si>
  <si>
    <t>EXP-03325</t>
  </si>
  <si>
    <t>EXP-03326</t>
  </si>
  <si>
    <t>EXP-03327</t>
  </si>
  <si>
    <t>EXP-03328</t>
  </si>
  <si>
    <t>EXP-03329</t>
  </si>
  <si>
    <t>EXP-03330</t>
  </si>
  <si>
    <t>EXP-03331</t>
  </si>
  <si>
    <t>EXP-03332</t>
  </si>
  <si>
    <t>EXP-03333</t>
  </si>
  <si>
    <t>EXP-03334</t>
  </si>
  <si>
    <t>EXP-03335</t>
  </si>
  <si>
    <t>EXP-03336</t>
  </si>
  <si>
    <t>EXP-03337</t>
  </si>
  <si>
    <t>EXP-03338</t>
  </si>
  <si>
    <t>EXP-03339</t>
  </si>
  <si>
    <t>EXP-03340</t>
  </si>
  <si>
    <t>EXP-03341</t>
  </si>
  <si>
    <t>EXP-03342</t>
  </si>
  <si>
    <t>EXP-03343</t>
  </si>
  <si>
    <t>EXP-03344</t>
  </si>
  <si>
    <t>EXP-03345</t>
  </si>
  <si>
    <t>EXP-03346</t>
  </si>
  <si>
    <t>EXP-03347</t>
  </si>
  <si>
    <t>EXP-03348</t>
  </si>
  <si>
    <t>EXP-03349</t>
  </si>
  <si>
    <t>EXP-03350</t>
  </si>
  <si>
    <t>EXP-03351</t>
  </si>
  <si>
    <t>EXP-03352</t>
  </si>
  <si>
    <t>EXP-03353</t>
  </si>
  <si>
    <t>EXP-03354</t>
  </si>
  <si>
    <t>EXP-03355</t>
  </si>
  <si>
    <t>EXP-03356</t>
  </si>
  <si>
    <t>EXP-03357</t>
  </si>
  <si>
    <t>EXP-03358</t>
  </si>
  <si>
    <t>EXP-03359</t>
  </si>
  <si>
    <t>EXP-03360</t>
  </si>
  <si>
    <t>EXP-03361</t>
  </si>
  <si>
    <t>EXP-03362</t>
  </si>
  <si>
    <t>EXP-03363</t>
  </si>
  <si>
    <t>EXP-03364</t>
  </si>
  <si>
    <t>EXP-03365</t>
  </si>
  <si>
    <t>EXP-03366</t>
  </si>
  <si>
    <t>EXP-03367</t>
  </si>
  <si>
    <t>EXP-03368</t>
  </si>
  <si>
    <t>EXP-03369</t>
  </si>
  <si>
    <t>EXP-03370</t>
  </si>
  <si>
    <t>EXP-03371</t>
  </si>
  <si>
    <t>EXP-03372</t>
  </si>
  <si>
    <t>EXP-03373</t>
  </si>
  <si>
    <t>EXP-03374</t>
  </si>
  <si>
    <t>EXP-03375</t>
  </si>
  <si>
    <t>EXP-03376</t>
  </si>
  <si>
    <t>EXP-03377</t>
  </si>
  <si>
    <t>EXP-03378</t>
  </si>
  <si>
    <t>EXP-03379</t>
  </si>
  <si>
    <t>EXP-03380</t>
  </si>
  <si>
    <t>EXP-03381</t>
  </si>
  <si>
    <t>EXP-03382</t>
  </si>
  <si>
    <t>EXP-03383</t>
  </si>
  <si>
    <t>EXP-03384</t>
  </si>
  <si>
    <t>EXP-03385</t>
  </si>
  <si>
    <t>EXP-03386</t>
  </si>
  <si>
    <t>EXP-03387</t>
  </si>
  <si>
    <t>EXP-03388</t>
  </si>
  <si>
    <t>EXP-03389</t>
  </si>
  <si>
    <t>EXP-03390</t>
  </si>
  <si>
    <t>EXP-03391</t>
  </si>
  <si>
    <t>EXP-03392</t>
  </si>
  <si>
    <t>EXP-03393</t>
  </si>
  <si>
    <t>EXP-03394</t>
  </si>
  <si>
    <t>EXP-03395</t>
  </si>
  <si>
    <t>EXP-03396</t>
  </si>
  <si>
    <t>EXP-03397</t>
  </si>
  <si>
    <t>EXP-03398</t>
  </si>
  <si>
    <t>EXP-03399</t>
  </si>
  <si>
    <t>EXP-03400</t>
  </si>
  <si>
    <t>Category List and Monthly Budget</t>
  </si>
  <si>
    <t>Monthly budget (USD) is the planning limit per category. Use this list for data validation dropdowns.</t>
  </si>
  <si>
    <t>Monthly Budget (USD)</t>
  </si>
  <si>
    <t>Typical Vendor Examples</t>
  </si>
  <si>
    <t>Air India, IndiGo, Uber</t>
  </si>
  <si>
    <t>Starbucks, Client Lunch - Bistro, Team Dinner</t>
  </si>
  <si>
    <t>Staples, Amazon Business, Office Depot</t>
  </si>
  <si>
    <t>Microsoft 365, Adobe Creative Cloud, Slack</t>
  </si>
  <si>
    <t>City Power Board, Water Authority, Gas Supply Co.</t>
  </si>
  <si>
    <t>Google Ads, Meta Ads, LinkedIn Ads</t>
  </si>
  <si>
    <t>Coursera for Business, Udemy Business, Local Workshop Provider</t>
  </si>
  <si>
    <t>Dell, Lenovo, Logitech</t>
  </si>
  <si>
    <t>Airtel Business, Jio Business, ACT Fibernet</t>
  </si>
  <si>
    <t>Legal Associates LLP, Audit &amp; Tax Partners, HR Consultants Inc.</t>
  </si>
  <si>
    <t>Pantry Supplies, Courier Service, Bank Charges</t>
  </si>
  <si>
    <t>Month</t>
  </si>
  <si>
    <t>Rejected</t>
  </si>
  <si>
    <t>Expense Transactions - January to October 2024</t>
  </si>
  <si>
    <t>Monthly Budget</t>
  </si>
  <si>
    <t>YTD Actual</t>
  </si>
  <si>
    <t>YTD Budget</t>
  </si>
  <si>
    <t>Variance</t>
  </si>
  <si>
    <t>% Used</t>
  </si>
  <si>
    <t>Alert</t>
  </si>
  <si>
    <t>Total</t>
  </si>
  <si>
    <t>Expense and Budget Dashboard</t>
  </si>
  <si>
    <t>Select month</t>
  </si>
  <si>
    <t>Total spend</t>
  </si>
  <si>
    <t>Total budget</t>
  </si>
  <si>
    <t>Remaining budget</t>
  </si>
  <si>
    <t>Categories over budget</t>
  </si>
  <si>
    <t>% of budget used</t>
  </si>
  <si>
    <t>Budget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</si>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</sst>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mmm\-yyyy"/>
    <numFmt numFmtId="166" formatCode="0.0%"/>
  </numFmts>
  <fonts count="11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Bodoni MT Condensed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/>
    <xf numFmtId="3" fontId="5" fillId="0" borderId="1" xfId="0" applyNumberFormat="1" applyFont="1" applyBorder="1"/>
    <xf numFmtId="0" fontId="4" fillId="0" borderId="2" xfId="0" applyFont="1" applyBorder="1"/>
    <xf numFmtId="165" fontId="4" fillId="0" borderId="3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164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4" fontId="4" fillId="0" borderId="8" xfId="0" applyNumberFormat="1" applyFont="1" applyBorder="1"/>
    <xf numFmtId="165" fontId="4" fillId="0" borderId="9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3" fontId="8" fillId="0" borderId="19" xfId="0" applyNumberFormat="1" applyFont="1" applyBorder="1" applyAlignment="1">
      <alignment horizontal="center"/>
    </xf>
    <xf numFmtId="3" fontId="8" fillId="0" borderId="20" xfId="0" applyNumberFormat="1" applyFont="1" applyBorder="1" applyAlignment="1">
      <alignment horizontal="center"/>
    </xf>
    <xf numFmtId="0" fontId="0" fillId="0" borderId="0" xfId="0" applyFont="1"/>
    <xf numFmtId="0" fontId="9" fillId="0" borderId="0" xfId="0" applyFont="1"/>
    <xf numFmtId="0" fontId="1" fillId="3" borderId="0" xfId="0" applyFont="1" applyFill="1" applyAlignment="1">
      <alignment horizontal="center"/>
    </xf>
    <xf numFmtId="0" fontId="0" fillId="0" borderId="19" xfId="0" applyBorder="1" applyAlignment="1">
      <alignment horizontal="center"/>
    </xf>
    <xf numFmtId="3" fontId="8" fillId="0" borderId="23" xfId="0" applyNumberFormat="1" applyFont="1" applyBorder="1" applyAlignment="1">
      <alignment horizontal="center"/>
    </xf>
    <xf numFmtId="3" fontId="8" fillId="0" borderId="26" xfId="0" applyNumberFormat="1" applyFont="1" applyBorder="1" applyAlignment="1">
      <alignment horizontal="center"/>
    </xf>
    <xf numFmtId="165" fontId="8" fillId="0" borderId="28" xfId="0" applyNumberFormat="1" applyFon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3" fontId="0" fillId="0" borderId="31" xfId="0" applyNumberFormat="1" applyBorder="1" applyAlignment="1">
      <alignment horizontal="center"/>
    </xf>
    <xf numFmtId="3" fontId="0" fillId="0" borderId="3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3" fontId="0" fillId="0" borderId="23" xfId="0" applyNumberFormat="1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165" fontId="7" fillId="4" borderId="33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5" fontId="4" fillId="0" borderId="23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65" fontId="4" fillId="0" borderId="26" xfId="0" applyNumberFormat="1" applyFont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165" fontId="7" fillId="6" borderId="12" xfId="0" applyNumberFormat="1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10" fillId="7" borderId="27" xfId="0" applyFont="1" applyFill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0" fontId="10" fillId="7" borderId="21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>
          <bgColor rgb="FFFF3300"/>
        </patternFill>
      </fill>
    </dxf>
    <dxf>
      <font>
        <color rgb="FF663300"/>
      </font>
      <fill>
        <patternFill>
          <bgColor rgb="FFFFFF66"/>
        </patternFill>
      </fill>
    </dxf>
    <dxf>
      <font>
        <color rgb="FFC00000"/>
      </font>
      <fill>
        <patternFill>
          <bgColor rgb="FFFF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mmm\-yyyy"/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  <alignment horizontal="center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66"/>
      <color rgb="FFFF3300"/>
      <color rgb="FF663300"/>
      <color rgb="FFFFFF66"/>
      <color rgb="FFFF9900"/>
      <color rgb="FF0080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Budget vs Actual by Category(YTD)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35870516185477"/>
          <c:y val="0.15782407407407409"/>
          <c:w val="0.85219685039370074"/>
          <c:h val="0.337264144065325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Summary'!$M$4</c:f>
              <c:strCache>
                <c:ptCount val="1"/>
                <c:pt idx="0">
                  <c:v>YTD Actual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'Monthly Summary'!$A$5:$A$16</c:f>
              <c:strCache>
                <c:ptCount val="12"/>
                <c:pt idx="0">
                  <c:v>Travel</c:v>
                </c:pt>
                <c:pt idx="1">
                  <c:v>Meals &amp; Entertainment</c:v>
                </c:pt>
                <c:pt idx="2">
                  <c:v>Office Supplies</c:v>
                </c:pt>
                <c:pt idx="3">
                  <c:v>Software &amp; Subscriptions</c:v>
                </c:pt>
                <c:pt idx="4">
                  <c:v>Utilities</c:v>
                </c:pt>
                <c:pt idx="5">
                  <c:v>Rent</c:v>
                </c:pt>
                <c:pt idx="6">
                  <c:v>Marketing</c:v>
                </c:pt>
                <c:pt idx="7">
                  <c:v>Training &amp; Development</c:v>
                </c:pt>
                <c:pt idx="8">
                  <c:v>Equipment &amp; IT</c:v>
                </c:pt>
                <c:pt idx="9">
                  <c:v>Telephone &amp; Internet</c:v>
                </c:pt>
                <c:pt idx="10">
                  <c:v>Professional Services</c:v>
                </c:pt>
                <c:pt idx="11">
                  <c:v>Miscellaneous</c:v>
                </c:pt>
              </c:strCache>
            </c:strRef>
          </c:cat>
          <c:val>
            <c:numRef>
              <c:f>'Monthly Summary'!$M$5:$M$16</c:f>
              <c:numCache>
                <c:formatCode>General</c:formatCode>
                <c:ptCount val="12"/>
                <c:pt idx="0">
                  <c:v>123004.92000000001</c:v>
                </c:pt>
                <c:pt idx="1">
                  <c:v>22171.190000000002</c:v>
                </c:pt>
                <c:pt idx="2">
                  <c:v>9275.15</c:v>
                </c:pt>
                <c:pt idx="3">
                  <c:v>42116.71</c:v>
                </c:pt>
                <c:pt idx="4">
                  <c:v>22952.600000000002</c:v>
                </c:pt>
                <c:pt idx="5">
                  <c:v>150000</c:v>
                </c:pt>
                <c:pt idx="6">
                  <c:v>127936.62000000001</c:v>
                </c:pt>
                <c:pt idx="7">
                  <c:v>45945.1</c:v>
                </c:pt>
                <c:pt idx="8">
                  <c:v>56048.160000000003</c:v>
                </c:pt>
                <c:pt idx="9">
                  <c:v>11901.789999999999</c:v>
                </c:pt>
                <c:pt idx="10">
                  <c:v>74506.67</c:v>
                </c:pt>
                <c:pt idx="11">
                  <c:v>11882.130000000001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C-43B8-9D18-5CECD155ACFC}"/>
            </c:ext>
          </c:extLst>
        </c:ser>
        <c:ser>
          <c:idx val="1"/>
          <c:order val="1"/>
          <c:tx>
            <c:strRef>
              <c:f>'Monthly Summary'!$N$4</c:f>
              <c:strCache>
                <c:ptCount val="1"/>
                <c:pt idx="0">
                  <c:v>YTD Budget</c:v>
                </c:pt>
              </c:strCache>
            </c:strRef>
          </c:tx>
          <c:spPr>
            <a:gradFill>
              <a:gsLst>
                <a:gs pos="0">
                  <a:schemeClr val="accent4">
                    <a:shade val="51000"/>
                  </a:schemeClr>
                </a:gs>
                <a:gs pos="80000">
                  <a:schemeClr val="accent4">
                    <a:shade val="93000"/>
                  </a:schemeClr>
                </a:gs>
                <a:gs pos="100000">
                  <a:schemeClr val="accent4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'Monthly Summary'!$A$5:$A$16</c:f>
              <c:strCache>
                <c:ptCount val="12"/>
                <c:pt idx="0">
                  <c:v>Travel</c:v>
                </c:pt>
                <c:pt idx="1">
                  <c:v>Meals &amp; Entertainment</c:v>
                </c:pt>
                <c:pt idx="2">
                  <c:v>Office Supplies</c:v>
                </c:pt>
                <c:pt idx="3">
                  <c:v>Software &amp; Subscriptions</c:v>
                </c:pt>
                <c:pt idx="4">
                  <c:v>Utilities</c:v>
                </c:pt>
                <c:pt idx="5">
                  <c:v>Rent</c:v>
                </c:pt>
                <c:pt idx="6">
                  <c:v>Marketing</c:v>
                </c:pt>
                <c:pt idx="7">
                  <c:v>Training &amp; Development</c:v>
                </c:pt>
                <c:pt idx="8">
                  <c:v>Equipment &amp; IT</c:v>
                </c:pt>
                <c:pt idx="9">
                  <c:v>Telephone &amp; Internet</c:v>
                </c:pt>
                <c:pt idx="10">
                  <c:v>Professional Services</c:v>
                </c:pt>
                <c:pt idx="11">
                  <c:v>Miscellaneous</c:v>
                </c:pt>
              </c:strCache>
            </c:strRef>
          </c:cat>
          <c:val>
            <c:numRef>
              <c:f>'Monthly Summary'!$N$5:$N$16</c:f>
              <c:numCache>
                <c:formatCode>General</c:formatCode>
                <c:ptCount val="12"/>
                <c:pt idx="0">
                  <c:v>134000</c:v>
                </c:pt>
                <c:pt idx="1">
                  <c:v>22000</c:v>
                </c:pt>
                <c:pt idx="2">
                  <c:v>9000</c:v>
                </c:pt>
                <c:pt idx="3">
                  <c:v>44000</c:v>
                </c:pt>
                <c:pt idx="4">
                  <c:v>22000</c:v>
                </c:pt>
                <c:pt idx="5">
                  <c:v>150000</c:v>
                </c:pt>
                <c:pt idx="6">
                  <c:v>143000</c:v>
                </c:pt>
                <c:pt idx="7">
                  <c:v>42000</c:v>
                </c:pt>
                <c:pt idx="8">
                  <c:v>55000</c:v>
                </c:pt>
                <c:pt idx="9">
                  <c:v>14000</c:v>
                </c:pt>
                <c:pt idx="10">
                  <c:v>85000</c:v>
                </c:pt>
                <c:pt idx="11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EC-43B8-9D18-5CECD155A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979503"/>
        <c:axId val="143979919"/>
      </c:barChart>
      <c:catAx>
        <c:axId val="14397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79919"/>
        <c:crosses val="autoZero"/>
        <c:auto val="1"/>
        <c:lblAlgn val="ctr"/>
        <c:lblOffset val="100"/>
        <c:noMultiLvlLbl val="0"/>
      </c:catAx>
      <c:valAx>
        <c:axId val="1439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7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Spend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97897809502783"/>
          <c:y val="0.18181372549019609"/>
          <c:w val="0.80852257953737094"/>
          <c:h val="0.70446927589933617"/>
        </c:manualLayout>
      </c:layout>
      <c:lineChart>
        <c:grouping val="standard"/>
        <c:varyColors val="0"/>
        <c:ser>
          <c:idx val="0"/>
          <c:order val="0"/>
          <c:tx>
            <c:strRef>
              <c:f>'Monthly Summary'!$A$20</c:f>
              <c:strCache>
                <c:ptCount val="1"/>
                <c:pt idx="0">
                  <c:v>Month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'Monthly Summary'!$A$21:$A$30</c:f>
              <c:numCache>
                <c:formatCode>mmm\-yyyy</c:formatCode>
                <c:ptCount val="1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8-43CB-A314-CC08F100F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16479"/>
        <c:axId val="297519"/>
      </c:lineChart>
      <c:catAx>
        <c:axId val="1441164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19"/>
        <c:crosses val="autoZero"/>
        <c:auto val="1"/>
        <c:lblAlgn val="ctr"/>
        <c:lblOffset val="100"/>
        <c:noMultiLvlLbl val="0"/>
      </c:catAx>
      <c:valAx>
        <c:axId val="2975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mm\-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YTD spend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261891797540767"/>
          <c:y val="0.10620311138393784"/>
          <c:w val="0.41323476281158711"/>
          <c:h val="0.63942656090079175"/>
        </c:manualLayout>
      </c:layout>
      <c:doughnutChart>
        <c:varyColors val="1"/>
        <c:ser>
          <c:idx val="0"/>
          <c:order val="0"/>
          <c:tx>
            <c:strRef>
              <c:f>'Monthly Summary'!$M$4</c:f>
              <c:strCache>
                <c:ptCount val="1"/>
                <c:pt idx="0">
                  <c:v>YTD Actual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F1-465C-A822-68191F6E15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F1-465C-A822-68191F6E15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F1-465C-A822-68191F6E15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4F1-465C-A822-68191F6E15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4F1-465C-A822-68191F6E15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4F1-465C-A822-68191F6E15B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4F1-465C-A822-68191F6E15B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4F1-465C-A822-68191F6E15B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4F1-465C-A822-68191F6E15B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4F1-465C-A822-68191F6E15B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4F1-465C-A822-68191F6E15B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4F1-465C-A822-68191F6E15B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Summary'!$A$5:$A$16</c:f>
              <c:strCache>
                <c:ptCount val="12"/>
                <c:pt idx="0">
                  <c:v>Travel</c:v>
                </c:pt>
                <c:pt idx="1">
                  <c:v>Meals &amp; Entertainment</c:v>
                </c:pt>
                <c:pt idx="2">
                  <c:v>Office Supplies</c:v>
                </c:pt>
                <c:pt idx="3">
                  <c:v>Software &amp; Subscriptions</c:v>
                </c:pt>
                <c:pt idx="4">
                  <c:v>Utilities</c:v>
                </c:pt>
                <c:pt idx="5">
                  <c:v>Rent</c:v>
                </c:pt>
                <c:pt idx="6">
                  <c:v>Marketing</c:v>
                </c:pt>
                <c:pt idx="7">
                  <c:v>Training &amp; Development</c:v>
                </c:pt>
                <c:pt idx="8">
                  <c:v>Equipment &amp; IT</c:v>
                </c:pt>
                <c:pt idx="9">
                  <c:v>Telephone &amp; Internet</c:v>
                </c:pt>
                <c:pt idx="10">
                  <c:v>Professional Services</c:v>
                </c:pt>
                <c:pt idx="11">
                  <c:v>Miscellaneous</c:v>
                </c:pt>
              </c:strCache>
            </c:strRef>
          </c:cat>
          <c:val>
            <c:numRef>
              <c:f>'Monthly Summary'!$M$5:$M$16</c:f>
              <c:numCache>
                <c:formatCode>General</c:formatCode>
                <c:ptCount val="12"/>
                <c:pt idx="0">
                  <c:v>123004.92000000001</c:v>
                </c:pt>
                <c:pt idx="1">
                  <c:v>22171.190000000002</c:v>
                </c:pt>
                <c:pt idx="2">
                  <c:v>9275.15</c:v>
                </c:pt>
                <c:pt idx="3">
                  <c:v>42116.71</c:v>
                </c:pt>
                <c:pt idx="4">
                  <c:v>22952.600000000002</c:v>
                </c:pt>
                <c:pt idx="5">
                  <c:v>150000</c:v>
                </c:pt>
                <c:pt idx="6">
                  <c:v>127936.62000000001</c:v>
                </c:pt>
                <c:pt idx="7">
                  <c:v>45945.1</c:v>
                </c:pt>
                <c:pt idx="8">
                  <c:v>56048.160000000003</c:v>
                </c:pt>
                <c:pt idx="9">
                  <c:v>11901.789999999999</c:v>
                </c:pt>
                <c:pt idx="10">
                  <c:v>74506.67</c:v>
                </c:pt>
                <c:pt idx="11">
                  <c:v>11882.130000000001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4F1-465C-A822-68191F6E15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</xdr:row>
      <xdr:rowOff>102394</xdr:rowOff>
    </xdr:from>
    <xdr:to>
      <xdr:col>2</xdr:col>
      <xdr:colOff>1133476</xdr:colOff>
      <xdr:row>23</xdr:row>
      <xdr:rowOff>92869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DAB14-50B8-4E8E-AFF5-2F0BE1A35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24</xdr:row>
      <xdr:rowOff>164305</xdr:rowOff>
    </xdr:from>
    <xdr:to>
      <xdr:col>2</xdr:col>
      <xdr:colOff>1164432</xdr:colOff>
      <xdr:row>37</xdr:row>
      <xdr:rowOff>173830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3AAFC5-CFEA-4624-A1A0-F7DDF8DD9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40064</xdr:colOff>
      <xdr:row>15</xdr:row>
      <xdr:rowOff>156671</xdr:rowOff>
    </xdr:from>
    <xdr:to>
      <xdr:col>12</xdr:col>
      <xdr:colOff>430515</xdr:colOff>
      <xdr:row>33</xdr:row>
      <xdr:rowOff>120952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E07D1B-1096-47F6-B4A4-6D48115CF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8DB108-4CE1-42D4-9876-65D445A4D3B8}" name="Table1" displayName="Table1" ref="A4:I1004" totalsRowShown="0" headerRowDxfId="16" dataDxfId="14" headerRowBorderDxfId="15" tableBorderDxfId="13" totalsRowBorderDxfId="12">
  <autoFilter ref="A4:I1004" xr:uid="{5B8DB108-4CE1-42D4-9876-65D445A4D3B8}"/>
  <tableColumns count="9">
    <tableColumn id="1" xr3:uid="{7ACB00C5-7566-46E2-8545-EA8E2CBEE72F}" name="Transaction ID" dataDxfId="11"/>
    <tableColumn id="2" xr3:uid="{11E2D0DB-DA21-4EB9-8984-714B032A7797}" name="Date" dataDxfId="10"/>
    <tableColumn id="3" xr3:uid="{EC9031A6-00A7-4405-AEA3-2F1EB1296A61}" name="Department" dataDxfId="9"/>
    <tableColumn id="4" xr3:uid="{C2110D88-D653-4BF8-9092-BADCD81B485D}" name="Category" dataDxfId="8"/>
    <tableColumn id="5" xr3:uid="{2C775BCE-C955-43D4-866D-B5AEF140C740}" name="Vendor / Description" dataDxfId="7"/>
    <tableColumn id="6" xr3:uid="{5BB7914C-25C8-441D-863C-DC033CEA7784}" name="Amount (USD)" dataDxfId="6"/>
    <tableColumn id="7" xr3:uid="{EC3517FA-F8A6-4DEC-A5C3-21761A55EEDD}" name="Payment Method" dataDxfId="5"/>
    <tableColumn id="8" xr3:uid="{FDC83EF3-E7B7-4311-849B-D66231E2E7E9}" name="Status" dataDxfId="4"/>
    <tableColumn id="9" xr3:uid="{96B981A5-0E51-4350-BEFD-BFA7E05A0782}" name="Month (helper)" dataDxfId="3">
      <calculatedColumnFormula>DATE(YEAR(B5),MONTH(B5),1)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C7CE-CC9A-483E-AA9F-30FD413B025B}">
  <dimension ref="A1:C9"/>
  <sheetViews>
    <sheetView zoomScale="63" workbookViewId="0">
      <selection activeCell="C3" sqref="C3"/>
    </sheetView>
  </sheetViews>
  <sheetFormatPr defaultRowHeight="15" x14ac:dyDescent="0.25"/>
  <cols>
    <col min="1" max="1" width="2.7109375" customWidth="1"/>
    <col min="2" max="2" width="41.140625" customWidth="1"/>
    <col min="3" max="3" width="18.7109375" customWidth="1"/>
  </cols>
  <sheetData>
    <row r="1" spans="1:3" ht="21" x14ac:dyDescent="0.35">
      <c r="A1" s="32"/>
      <c r="B1" s="33" t="s">
        <v>1120</v>
      </c>
    </row>
    <row r="2" spans="1:3" ht="15.75" thickBot="1" x14ac:dyDescent="0.3"/>
    <row r="3" spans="1:3" x14ac:dyDescent="0.25">
      <c r="B3" s="49" t="s">
        <v>1121</v>
      </c>
      <c r="C3" s="50">
        <v>45292</v>
      </c>
    </row>
    <row r="4" spans="1:3" x14ac:dyDescent="0.25">
      <c r="B4" s="43"/>
      <c r="C4" s="44"/>
    </row>
    <row r="5" spans="1:3" x14ac:dyDescent="0.25">
      <c r="B5" s="43" t="s">
        <v>1122</v>
      </c>
      <c r="C5" s="45">
        <f>SUMIFS(Input!$F$5:$F$1004,Input!$I$5:$I$1004,$C$3)</f>
        <v>62180.080000000009</v>
      </c>
    </row>
    <row r="6" spans="1:3" x14ac:dyDescent="0.25">
      <c r="B6" s="43" t="s">
        <v>1123</v>
      </c>
      <c r="C6" s="45">
        <f>'Monthly Summary'!$B$17</f>
        <v>73300</v>
      </c>
    </row>
    <row r="7" spans="1:3" x14ac:dyDescent="0.25">
      <c r="B7" s="46" t="s">
        <v>1124</v>
      </c>
      <c r="C7" s="45">
        <f>C6-C5</f>
        <v>11119.919999999991</v>
      </c>
    </row>
    <row r="8" spans="1:3" x14ac:dyDescent="0.25">
      <c r="B8" s="43" t="s">
        <v>1125</v>
      </c>
      <c r="C8" s="44" cm="1">
        <f t="array" ref="C8">SUMPRODUCT(--(SUMIFS(Input!$F$5:$F$1004,Input!$D$5:$D$1004,Categories!$A$5:$A$16,Input!$I$5:$I$1004,$C$3)&gt;Categories!$B$5:$B$16))</f>
        <v>4</v>
      </c>
    </row>
    <row r="9" spans="1:3" ht="15.75" thickBot="1" x14ac:dyDescent="0.3">
      <c r="B9" s="47" t="s">
        <v>1126</v>
      </c>
      <c r="C9" s="48">
        <f>IF(C6=0,0,C5/C6)</f>
        <v>0.84829577080491148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408BBD-5101-48D0-9DEB-9C01E3D2DCDC}">
          <x14:formula1>
            <xm:f>Lists!$D$2:$D$11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4"/>
  <sheetViews>
    <sheetView topLeftCell="C1" zoomScaleNormal="100" workbookViewId="0">
      <pane ySplit="4" topLeftCell="A997" activePane="bottomLeft" state="frozen"/>
      <selection pane="bottomLeft" activeCell="F1005" sqref="F1005"/>
    </sheetView>
  </sheetViews>
  <sheetFormatPr defaultColWidth="8.7109375" defaultRowHeight="15" x14ac:dyDescent="0.25"/>
  <cols>
    <col min="1" max="1" width="17.85546875" customWidth="1"/>
    <col min="2" max="2" width="13" customWidth="1"/>
    <col min="3" max="3" width="15" customWidth="1"/>
    <col min="4" max="4" width="24" customWidth="1"/>
    <col min="5" max="5" width="26" customWidth="1"/>
    <col min="6" max="6" width="17.28515625" customWidth="1"/>
    <col min="7" max="7" width="20" customWidth="1"/>
    <col min="8" max="8" width="12" customWidth="1"/>
    <col min="9" max="9" width="18.140625" customWidth="1"/>
  </cols>
  <sheetData>
    <row r="1" spans="1:9" ht="16.5" x14ac:dyDescent="0.25">
      <c r="A1" s="34" t="s">
        <v>1112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1"/>
    </row>
    <row r="4" spans="1:9" ht="30" customHeight="1" x14ac:dyDescent="0.25">
      <c r="A4" s="9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1" t="s">
        <v>8</v>
      </c>
    </row>
    <row r="5" spans="1:9" x14ac:dyDescent="0.25">
      <c r="A5" s="7" t="s">
        <v>9</v>
      </c>
      <c r="B5" s="4">
        <v>45292</v>
      </c>
      <c r="C5" s="3" t="s">
        <v>10</v>
      </c>
      <c r="D5" s="3" t="s">
        <v>11</v>
      </c>
      <c r="E5" s="3" t="s">
        <v>12</v>
      </c>
      <c r="F5" s="5">
        <v>15000</v>
      </c>
      <c r="G5" s="3" t="s">
        <v>13</v>
      </c>
      <c r="H5" s="3" t="s">
        <v>14</v>
      </c>
      <c r="I5" s="8">
        <f t="shared" ref="I5:I68" si="0">DATE(YEAR(B5),MONTH(B5),1)</f>
        <v>45292</v>
      </c>
    </row>
    <row r="6" spans="1:9" x14ac:dyDescent="0.25">
      <c r="A6" s="7" t="s">
        <v>15</v>
      </c>
      <c r="B6" s="4">
        <v>45293</v>
      </c>
      <c r="C6" s="3" t="s">
        <v>16</v>
      </c>
      <c r="D6" s="3" t="s">
        <v>17</v>
      </c>
      <c r="E6" s="3" t="s">
        <v>18</v>
      </c>
      <c r="F6" s="5">
        <v>1177.4100000000001</v>
      </c>
      <c r="G6" s="3" t="s">
        <v>19</v>
      </c>
      <c r="H6" s="3" t="s">
        <v>20</v>
      </c>
      <c r="I6" s="8">
        <f t="shared" si="0"/>
        <v>45292</v>
      </c>
    </row>
    <row r="7" spans="1:9" x14ac:dyDescent="0.25">
      <c r="A7" s="7" t="s">
        <v>21</v>
      </c>
      <c r="B7" s="4">
        <v>45293</v>
      </c>
      <c r="C7" s="3" t="s">
        <v>22</v>
      </c>
      <c r="D7" s="3" t="s">
        <v>17</v>
      </c>
      <c r="E7" s="3" t="s">
        <v>23</v>
      </c>
      <c r="F7" s="5">
        <v>467.27</v>
      </c>
      <c r="G7" s="3" t="s">
        <v>24</v>
      </c>
      <c r="H7" s="3" t="s">
        <v>14</v>
      </c>
      <c r="I7" s="8">
        <f t="shared" si="0"/>
        <v>45292</v>
      </c>
    </row>
    <row r="8" spans="1:9" x14ac:dyDescent="0.25">
      <c r="A8" s="7" t="s">
        <v>25</v>
      </c>
      <c r="B8" s="4">
        <v>45293</v>
      </c>
      <c r="C8" s="3" t="s">
        <v>22</v>
      </c>
      <c r="D8" s="3" t="s">
        <v>22</v>
      </c>
      <c r="E8" s="3" t="s">
        <v>26</v>
      </c>
      <c r="F8" s="5">
        <v>132.06</v>
      </c>
      <c r="G8" s="3" t="s">
        <v>27</v>
      </c>
      <c r="H8" s="3" t="s">
        <v>14</v>
      </c>
      <c r="I8" s="8">
        <f t="shared" si="0"/>
        <v>45292</v>
      </c>
    </row>
    <row r="9" spans="1:9" x14ac:dyDescent="0.25">
      <c r="A9" s="7" t="s">
        <v>28</v>
      </c>
      <c r="B9" s="4">
        <v>45293</v>
      </c>
      <c r="C9" s="3" t="s">
        <v>29</v>
      </c>
      <c r="D9" s="3" t="s">
        <v>30</v>
      </c>
      <c r="E9" s="3" t="s">
        <v>31</v>
      </c>
      <c r="F9" s="5">
        <v>109.87</v>
      </c>
      <c r="G9" s="3" t="s">
        <v>19</v>
      </c>
      <c r="H9" s="3" t="s">
        <v>20</v>
      </c>
      <c r="I9" s="8">
        <f t="shared" si="0"/>
        <v>45292</v>
      </c>
    </row>
    <row r="10" spans="1:9" x14ac:dyDescent="0.25">
      <c r="A10" s="7" t="s">
        <v>32</v>
      </c>
      <c r="B10" s="4">
        <v>45294</v>
      </c>
      <c r="C10" s="3" t="s">
        <v>33</v>
      </c>
      <c r="D10" s="3" t="s">
        <v>30</v>
      </c>
      <c r="E10" s="3" t="s">
        <v>34</v>
      </c>
      <c r="F10" s="5">
        <v>347.68</v>
      </c>
      <c r="G10" s="3" t="s">
        <v>24</v>
      </c>
      <c r="H10" s="3" t="s">
        <v>14</v>
      </c>
      <c r="I10" s="8">
        <f t="shared" si="0"/>
        <v>45292</v>
      </c>
    </row>
    <row r="11" spans="1:9" x14ac:dyDescent="0.25">
      <c r="A11" s="7" t="s">
        <v>35</v>
      </c>
      <c r="B11" s="4">
        <v>45294</v>
      </c>
      <c r="C11" s="3" t="s">
        <v>16</v>
      </c>
      <c r="D11" s="3" t="s">
        <v>36</v>
      </c>
      <c r="E11" s="3" t="s">
        <v>37</v>
      </c>
      <c r="F11" s="5">
        <v>174.02</v>
      </c>
      <c r="G11" s="3" t="s">
        <v>19</v>
      </c>
      <c r="H11" s="3" t="s">
        <v>20</v>
      </c>
      <c r="I11" s="8">
        <f t="shared" si="0"/>
        <v>45292</v>
      </c>
    </row>
    <row r="12" spans="1:9" x14ac:dyDescent="0.25">
      <c r="A12" s="7" t="s">
        <v>38</v>
      </c>
      <c r="B12" s="4">
        <v>45294</v>
      </c>
      <c r="C12" s="3" t="s">
        <v>39</v>
      </c>
      <c r="D12" s="3" t="s">
        <v>40</v>
      </c>
      <c r="E12" s="3" t="s">
        <v>41</v>
      </c>
      <c r="F12" s="5">
        <v>621.57000000000005</v>
      </c>
      <c r="G12" s="3" t="s">
        <v>27</v>
      </c>
      <c r="H12" s="3" t="s">
        <v>14</v>
      </c>
      <c r="I12" s="8">
        <f t="shared" si="0"/>
        <v>45292</v>
      </c>
    </row>
    <row r="13" spans="1:9" x14ac:dyDescent="0.25">
      <c r="A13" s="7" t="s">
        <v>42</v>
      </c>
      <c r="B13" s="4">
        <v>45295</v>
      </c>
      <c r="C13" s="3" t="s">
        <v>22</v>
      </c>
      <c r="D13" s="3" t="s">
        <v>43</v>
      </c>
      <c r="E13" s="3" t="s">
        <v>44</v>
      </c>
      <c r="F13" s="5">
        <v>72.34</v>
      </c>
      <c r="G13" s="3" t="s">
        <v>13</v>
      </c>
      <c r="H13" s="3" t="s">
        <v>14</v>
      </c>
      <c r="I13" s="8">
        <f t="shared" si="0"/>
        <v>45292</v>
      </c>
    </row>
    <row r="14" spans="1:9" x14ac:dyDescent="0.25">
      <c r="A14" s="7" t="s">
        <v>45</v>
      </c>
      <c r="B14" s="4">
        <v>45295</v>
      </c>
      <c r="C14" s="3" t="s">
        <v>22</v>
      </c>
      <c r="D14" s="3" t="s">
        <v>46</v>
      </c>
      <c r="E14" s="3" t="s">
        <v>47</v>
      </c>
      <c r="F14" s="5">
        <v>213.5</v>
      </c>
      <c r="G14" s="3" t="s">
        <v>13</v>
      </c>
      <c r="H14" s="3" t="s">
        <v>14</v>
      </c>
      <c r="I14" s="8">
        <f t="shared" si="0"/>
        <v>45292</v>
      </c>
    </row>
    <row r="15" spans="1:9" x14ac:dyDescent="0.25">
      <c r="A15" s="7" t="s">
        <v>48</v>
      </c>
      <c r="B15" s="4">
        <v>45296</v>
      </c>
      <c r="C15" s="3" t="s">
        <v>49</v>
      </c>
      <c r="D15" s="3" t="s">
        <v>50</v>
      </c>
      <c r="E15" s="3" t="s">
        <v>51</v>
      </c>
      <c r="F15" s="5">
        <v>18.59</v>
      </c>
      <c r="G15" s="3" t="s">
        <v>52</v>
      </c>
      <c r="H15" s="3" t="s">
        <v>14</v>
      </c>
      <c r="I15" s="8">
        <f t="shared" si="0"/>
        <v>45292</v>
      </c>
    </row>
    <row r="16" spans="1:9" x14ac:dyDescent="0.25">
      <c r="A16" s="7" t="s">
        <v>53</v>
      </c>
      <c r="B16" s="4">
        <v>45296</v>
      </c>
      <c r="C16" s="3" t="s">
        <v>54</v>
      </c>
      <c r="D16" s="3" t="s">
        <v>55</v>
      </c>
      <c r="E16" s="3" t="s">
        <v>56</v>
      </c>
      <c r="F16" s="5">
        <v>1163.44</v>
      </c>
      <c r="G16" s="3" t="s">
        <v>27</v>
      </c>
      <c r="H16" s="3" t="s">
        <v>14</v>
      </c>
      <c r="I16" s="8">
        <f t="shared" si="0"/>
        <v>45292</v>
      </c>
    </row>
    <row r="17" spans="1:9" x14ac:dyDescent="0.25">
      <c r="A17" s="7" t="s">
        <v>57</v>
      </c>
      <c r="B17" s="4">
        <v>45296</v>
      </c>
      <c r="C17" s="3" t="s">
        <v>10</v>
      </c>
      <c r="D17" s="3" t="s">
        <v>40</v>
      </c>
      <c r="E17" s="3" t="s">
        <v>58</v>
      </c>
      <c r="F17" s="5">
        <v>800.61</v>
      </c>
      <c r="G17" s="3" t="s">
        <v>27</v>
      </c>
      <c r="H17" s="3" t="s">
        <v>20</v>
      </c>
      <c r="I17" s="8">
        <f t="shared" si="0"/>
        <v>45292</v>
      </c>
    </row>
    <row r="18" spans="1:9" x14ac:dyDescent="0.25">
      <c r="A18" s="7" t="s">
        <v>59</v>
      </c>
      <c r="B18" s="4">
        <v>45297</v>
      </c>
      <c r="C18" s="3" t="s">
        <v>29</v>
      </c>
      <c r="D18" s="3" t="s">
        <v>30</v>
      </c>
      <c r="E18" s="3" t="s">
        <v>60</v>
      </c>
      <c r="F18" s="5">
        <v>81.819999999999993</v>
      </c>
      <c r="G18" s="3" t="s">
        <v>52</v>
      </c>
      <c r="H18" s="3" t="s">
        <v>14</v>
      </c>
      <c r="I18" s="8">
        <f t="shared" si="0"/>
        <v>45292</v>
      </c>
    </row>
    <row r="19" spans="1:9" x14ac:dyDescent="0.25">
      <c r="A19" s="7" t="s">
        <v>61</v>
      </c>
      <c r="B19" s="4">
        <v>45297</v>
      </c>
      <c r="C19" s="3" t="s">
        <v>16</v>
      </c>
      <c r="D19" s="3" t="s">
        <v>50</v>
      </c>
      <c r="E19" s="3" t="s">
        <v>62</v>
      </c>
      <c r="F19" s="5">
        <v>81.96</v>
      </c>
      <c r="G19" s="3" t="s">
        <v>52</v>
      </c>
      <c r="H19" s="3" t="s">
        <v>14</v>
      </c>
      <c r="I19" s="8">
        <f t="shared" si="0"/>
        <v>45292</v>
      </c>
    </row>
    <row r="20" spans="1:9" x14ac:dyDescent="0.25">
      <c r="A20" s="7" t="s">
        <v>63</v>
      </c>
      <c r="B20" s="4">
        <v>45298</v>
      </c>
      <c r="C20" s="3" t="s">
        <v>39</v>
      </c>
      <c r="D20" s="3" t="s">
        <v>50</v>
      </c>
      <c r="E20" s="3" t="s">
        <v>51</v>
      </c>
      <c r="F20" s="5">
        <v>144.9</v>
      </c>
      <c r="G20" s="3" t="s">
        <v>52</v>
      </c>
      <c r="H20" s="3" t="s">
        <v>20</v>
      </c>
      <c r="I20" s="8">
        <f t="shared" si="0"/>
        <v>45292</v>
      </c>
    </row>
    <row r="21" spans="1:9" x14ac:dyDescent="0.25">
      <c r="A21" s="7" t="s">
        <v>64</v>
      </c>
      <c r="B21" s="4">
        <v>45298</v>
      </c>
      <c r="C21" s="3" t="s">
        <v>16</v>
      </c>
      <c r="D21" s="3" t="s">
        <v>30</v>
      </c>
      <c r="E21" s="3" t="s">
        <v>65</v>
      </c>
      <c r="F21" s="5">
        <v>285.74</v>
      </c>
      <c r="G21" s="3" t="s">
        <v>52</v>
      </c>
      <c r="H21" s="3" t="s">
        <v>14</v>
      </c>
      <c r="I21" s="8">
        <f t="shared" si="0"/>
        <v>45292</v>
      </c>
    </row>
    <row r="22" spans="1:9" x14ac:dyDescent="0.25">
      <c r="A22" s="7" t="s">
        <v>66</v>
      </c>
      <c r="B22" s="4">
        <v>45299</v>
      </c>
      <c r="C22" s="3" t="s">
        <v>33</v>
      </c>
      <c r="D22" s="3" t="s">
        <v>17</v>
      </c>
      <c r="E22" s="3" t="s">
        <v>23</v>
      </c>
      <c r="F22" s="5">
        <v>961.72</v>
      </c>
      <c r="G22" s="3" t="s">
        <v>19</v>
      </c>
      <c r="H22" s="3" t="s">
        <v>14</v>
      </c>
      <c r="I22" s="8">
        <f t="shared" si="0"/>
        <v>45292</v>
      </c>
    </row>
    <row r="23" spans="1:9" x14ac:dyDescent="0.25">
      <c r="A23" s="7" t="s">
        <v>67</v>
      </c>
      <c r="B23" s="4">
        <v>45299</v>
      </c>
      <c r="C23" s="3" t="s">
        <v>22</v>
      </c>
      <c r="D23" s="3" t="s">
        <v>17</v>
      </c>
      <c r="E23" s="3" t="s">
        <v>68</v>
      </c>
      <c r="F23" s="5">
        <v>463.2</v>
      </c>
      <c r="G23" s="3" t="s">
        <v>19</v>
      </c>
      <c r="H23" s="3" t="s">
        <v>14</v>
      </c>
      <c r="I23" s="8">
        <f t="shared" si="0"/>
        <v>45292</v>
      </c>
    </row>
    <row r="24" spans="1:9" x14ac:dyDescent="0.25">
      <c r="A24" s="7" t="s">
        <v>69</v>
      </c>
      <c r="B24" s="4">
        <v>45300</v>
      </c>
      <c r="C24" s="3" t="s">
        <v>22</v>
      </c>
      <c r="D24" s="3" t="s">
        <v>50</v>
      </c>
      <c r="E24" s="3" t="s">
        <v>70</v>
      </c>
      <c r="F24" s="5">
        <v>46.58</v>
      </c>
      <c r="G24" s="3" t="s">
        <v>24</v>
      </c>
      <c r="H24" s="3" t="s">
        <v>14</v>
      </c>
      <c r="I24" s="8">
        <f t="shared" si="0"/>
        <v>45292</v>
      </c>
    </row>
    <row r="25" spans="1:9" x14ac:dyDescent="0.25">
      <c r="A25" s="7" t="s">
        <v>71</v>
      </c>
      <c r="B25" s="4">
        <v>45301</v>
      </c>
      <c r="C25" s="3" t="s">
        <v>49</v>
      </c>
      <c r="D25" s="3" t="s">
        <v>50</v>
      </c>
      <c r="E25" s="3" t="s">
        <v>51</v>
      </c>
      <c r="F25" s="5">
        <v>83.76</v>
      </c>
      <c r="G25" s="3" t="s">
        <v>24</v>
      </c>
      <c r="H25" s="3" t="s">
        <v>14</v>
      </c>
      <c r="I25" s="8">
        <f t="shared" si="0"/>
        <v>45292</v>
      </c>
    </row>
    <row r="26" spans="1:9" x14ac:dyDescent="0.25">
      <c r="A26" s="7" t="s">
        <v>72</v>
      </c>
      <c r="B26" s="4">
        <v>45301</v>
      </c>
      <c r="C26" s="3" t="s">
        <v>33</v>
      </c>
      <c r="D26" s="3" t="s">
        <v>30</v>
      </c>
      <c r="E26" s="3" t="s">
        <v>60</v>
      </c>
      <c r="F26" s="5">
        <v>276.81</v>
      </c>
      <c r="G26" s="3" t="s">
        <v>19</v>
      </c>
      <c r="H26" s="3" t="s">
        <v>14</v>
      </c>
      <c r="I26" s="8">
        <f t="shared" si="0"/>
        <v>45292</v>
      </c>
    </row>
    <row r="27" spans="1:9" x14ac:dyDescent="0.25">
      <c r="A27" s="7" t="s">
        <v>73</v>
      </c>
      <c r="B27" s="4">
        <v>45301</v>
      </c>
      <c r="C27" s="3" t="s">
        <v>16</v>
      </c>
      <c r="D27" s="3" t="s">
        <v>50</v>
      </c>
      <c r="E27" s="3" t="s">
        <v>62</v>
      </c>
      <c r="F27" s="5">
        <v>41.22</v>
      </c>
      <c r="G27" s="3" t="s">
        <v>52</v>
      </c>
      <c r="H27" s="3" t="s">
        <v>14</v>
      </c>
      <c r="I27" s="8">
        <f t="shared" si="0"/>
        <v>45292</v>
      </c>
    </row>
    <row r="28" spans="1:9" x14ac:dyDescent="0.25">
      <c r="A28" s="7" t="s">
        <v>74</v>
      </c>
      <c r="B28" s="4">
        <v>45301</v>
      </c>
      <c r="C28" s="3" t="s">
        <v>54</v>
      </c>
      <c r="D28" s="3" t="s">
        <v>22</v>
      </c>
      <c r="E28" s="3" t="s">
        <v>75</v>
      </c>
      <c r="F28" s="5">
        <v>1254.68</v>
      </c>
      <c r="G28" s="3" t="s">
        <v>19</v>
      </c>
      <c r="H28" s="3" t="s">
        <v>14</v>
      </c>
      <c r="I28" s="8">
        <f t="shared" si="0"/>
        <v>45292</v>
      </c>
    </row>
    <row r="29" spans="1:9" x14ac:dyDescent="0.25">
      <c r="A29" s="7" t="s">
        <v>76</v>
      </c>
      <c r="B29" s="4">
        <v>45302</v>
      </c>
      <c r="C29" s="3" t="s">
        <v>10</v>
      </c>
      <c r="D29" s="3" t="s">
        <v>17</v>
      </c>
      <c r="E29" s="3" t="s">
        <v>18</v>
      </c>
      <c r="F29" s="5">
        <v>564.36</v>
      </c>
      <c r="G29" s="3" t="s">
        <v>24</v>
      </c>
      <c r="H29" s="3" t="s">
        <v>14</v>
      </c>
      <c r="I29" s="8">
        <f t="shared" si="0"/>
        <v>45292</v>
      </c>
    </row>
    <row r="30" spans="1:9" x14ac:dyDescent="0.25">
      <c r="A30" s="7" t="s">
        <v>77</v>
      </c>
      <c r="B30" s="4">
        <v>45302</v>
      </c>
      <c r="C30" s="3" t="s">
        <v>10</v>
      </c>
      <c r="D30" s="3" t="s">
        <v>43</v>
      </c>
      <c r="E30" s="3" t="s">
        <v>78</v>
      </c>
      <c r="F30" s="5">
        <v>67.290000000000006</v>
      </c>
      <c r="G30" s="3" t="s">
        <v>13</v>
      </c>
      <c r="H30" s="3" t="s">
        <v>14</v>
      </c>
      <c r="I30" s="8">
        <f t="shared" si="0"/>
        <v>45292</v>
      </c>
    </row>
    <row r="31" spans="1:9" x14ac:dyDescent="0.25">
      <c r="A31" s="7" t="s">
        <v>79</v>
      </c>
      <c r="B31" s="4">
        <v>45302</v>
      </c>
      <c r="C31" s="3" t="s">
        <v>39</v>
      </c>
      <c r="D31" s="3" t="s">
        <v>17</v>
      </c>
      <c r="E31" s="3" t="s">
        <v>80</v>
      </c>
      <c r="F31" s="5">
        <v>1249.82</v>
      </c>
      <c r="G31" s="3" t="s">
        <v>19</v>
      </c>
      <c r="H31" s="3" t="s">
        <v>14</v>
      </c>
      <c r="I31" s="8">
        <f t="shared" si="0"/>
        <v>45292</v>
      </c>
    </row>
    <row r="32" spans="1:9" x14ac:dyDescent="0.25">
      <c r="A32" s="7" t="s">
        <v>81</v>
      </c>
      <c r="B32" s="4">
        <v>45303</v>
      </c>
      <c r="C32" s="3" t="s">
        <v>16</v>
      </c>
      <c r="D32" s="3" t="s">
        <v>82</v>
      </c>
      <c r="E32" s="3" t="s">
        <v>83</v>
      </c>
      <c r="F32" s="5">
        <v>1703.06</v>
      </c>
      <c r="G32" s="3" t="s">
        <v>13</v>
      </c>
      <c r="H32" s="3" t="s">
        <v>14</v>
      </c>
      <c r="I32" s="8">
        <f t="shared" si="0"/>
        <v>45292</v>
      </c>
    </row>
    <row r="33" spans="1:9" x14ac:dyDescent="0.25">
      <c r="A33" s="7" t="s">
        <v>84</v>
      </c>
      <c r="B33" s="4">
        <v>45304</v>
      </c>
      <c r="C33" s="3" t="s">
        <v>16</v>
      </c>
      <c r="D33" s="3" t="s">
        <v>43</v>
      </c>
      <c r="E33" s="3" t="s">
        <v>85</v>
      </c>
      <c r="F33" s="5">
        <v>101.96</v>
      </c>
      <c r="G33" s="3" t="s">
        <v>86</v>
      </c>
      <c r="H33" s="3" t="s">
        <v>14</v>
      </c>
      <c r="I33" s="8">
        <f t="shared" si="0"/>
        <v>45292</v>
      </c>
    </row>
    <row r="34" spans="1:9" x14ac:dyDescent="0.25">
      <c r="A34" s="7" t="s">
        <v>87</v>
      </c>
      <c r="B34" s="4">
        <v>45304</v>
      </c>
      <c r="C34" s="3" t="s">
        <v>39</v>
      </c>
      <c r="D34" s="3" t="s">
        <v>36</v>
      </c>
      <c r="E34" s="3" t="s">
        <v>88</v>
      </c>
      <c r="F34" s="5">
        <v>146.75</v>
      </c>
      <c r="G34" s="3" t="s">
        <v>19</v>
      </c>
      <c r="H34" s="3" t="s">
        <v>14</v>
      </c>
      <c r="I34" s="8">
        <f t="shared" si="0"/>
        <v>45292</v>
      </c>
    </row>
    <row r="35" spans="1:9" x14ac:dyDescent="0.25">
      <c r="A35" s="7" t="s">
        <v>89</v>
      </c>
      <c r="B35" s="4">
        <v>45305</v>
      </c>
      <c r="C35" s="3" t="s">
        <v>39</v>
      </c>
      <c r="D35" s="3" t="s">
        <v>17</v>
      </c>
      <c r="E35" s="3" t="s">
        <v>18</v>
      </c>
      <c r="F35" s="5">
        <v>471.39</v>
      </c>
      <c r="G35" s="3" t="s">
        <v>19</v>
      </c>
      <c r="H35" s="3" t="s">
        <v>14</v>
      </c>
      <c r="I35" s="8">
        <f t="shared" si="0"/>
        <v>45292</v>
      </c>
    </row>
    <row r="36" spans="1:9" x14ac:dyDescent="0.25">
      <c r="A36" s="7" t="s">
        <v>90</v>
      </c>
      <c r="B36" s="4">
        <v>45305</v>
      </c>
      <c r="C36" s="3" t="s">
        <v>29</v>
      </c>
      <c r="D36" s="3" t="s">
        <v>50</v>
      </c>
      <c r="E36" s="3" t="s">
        <v>51</v>
      </c>
      <c r="F36" s="5">
        <v>21.62</v>
      </c>
      <c r="G36" s="3" t="s">
        <v>24</v>
      </c>
      <c r="H36" s="3" t="s">
        <v>14</v>
      </c>
      <c r="I36" s="8">
        <f t="shared" si="0"/>
        <v>45292</v>
      </c>
    </row>
    <row r="37" spans="1:9" x14ac:dyDescent="0.25">
      <c r="A37" s="7" t="s">
        <v>91</v>
      </c>
      <c r="B37" s="4">
        <v>45305</v>
      </c>
      <c r="C37" s="3" t="s">
        <v>22</v>
      </c>
      <c r="D37" s="3" t="s">
        <v>30</v>
      </c>
      <c r="E37" s="3" t="s">
        <v>34</v>
      </c>
      <c r="F37" s="5">
        <v>115.47</v>
      </c>
      <c r="G37" s="3" t="s">
        <v>52</v>
      </c>
      <c r="H37" s="3" t="s">
        <v>14</v>
      </c>
      <c r="I37" s="8">
        <f t="shared" si="0"/>
        <v>45292</v>
      </c>
    </row>
    <row r="38" spans="1:9" x14ac:dyDescent="0.25">
      <c r="A38" s="7" t="s">
        <v>92</v>
      </c>
      <c r="B38" s="4">
        <v>45305</v>
      </c>
      <c r="C38" s="3" t="s">
        <v>16</v>
      </c>
      <c r="D38" s="3" t="s">
        <v>22</v>
      </c>
      <c r="E38" s="3" t="s">
        <v>93</v>
      </c>
      <c r="F38" s="5">
        <v>2333.31</v>
      </c>
      <c r="G38" s="3" t="s">
        <v>19</v>
      </c>
      <c r="H38" s="3" t="s">
        <v>14</v>
      </c>
      <c r="I38" s="8">
        <f t="shared" si="0"/>
        <v>45292</v>
      </c>
    </row>
    <row r="39" spans="1:9" x14ac:dyDescent="0.25">
      <c r="A39" s="7" t="s">
        <v>94</v>
      </c>
      <c r="B39" s="4">
        <v>45305</v>
      </c>
      <c r="C39" s="3" t="s">
        <v>39</v>
      </c>
      <c r="D39" s="3" t="s">
        <v>55</v>
      </c>
      <c r="E39" s="3" t="s">
        <v>95</v>
      </c>
      <c r="F39" s="5">
        <v>1466.05</v>
      </c>
      <c r="G39" s="3" t="s">
        <v>19</v>
      </c>
      <c r="H39" s="3" t="s">
        <v>14</v>
      </c>
      <c r="I39" s="8">
        <f t="shared" si="0"/>
        <v>45292</v>
      </c>
    </row>
    <row r="40" spans="1:9" x14ac:dyDescent="0.25">
      <c r="A40" s="7" t="s">
        <v>96</v>
      </c>
      <c r="B40" s="4">
        <v>45305</v>
      </c>
      <c r="C40" s="3" t="s">
        <v>39</v>
      </c>
      <c r="D40" s="3" t="s">
        <v>22</v>
      </c>
      <c r="E40" s="3" t="s">
        <v>97</v>
      </c>
      <c r="F40" s="5">
        <v>439.39</v>
      </c>
      <c r="G40" s="3" t="s">
        <v>27</v>
      </c>
      <c r="H40" s="3" t="s">
        <v>20</v>
      </c>
      <c r="I40" s="8">
        <f t="shared" si="0"/>
        <v>45292</v>
      </c>
    </row>
    <row r="41" spans="1:9" x14ac:dyDescent="0.25">
      <c r="A41" s="7" t="s">
        <v>98</v>
      </c>
      <c r="B41" s="4">
        <v>45305</v>
      </c>
      <c r="C41" s="3" t="s">
        <v>16</v>
      </c>
      <c r="D41" s="3" t="s">
        <v>17</v>
      </c>
      <c r="E41" s="3" t="s">
        <v>23</v>
      </c>
      <c r="F41" s="5">
        <v>141.47</v>
      </c>
      <c r="G41" s="3" t="s">
        <v>19</v>
      </c>
      <c r="H41" s="3" t="s">
        <v>14</v>
      </c>
      <c r="I41" s="8">
        <f t="shared" si="0"/>
        <v>45292</v>
      </c>
    </row>
    <row r="42" spans="1:9" x14ac:dyDescent="0.25">
      <c r="A42" s="7" t="s">
        <v>99</v>
      </c>
      <c r="B42" s="4">
        <v>45306</v>
      </c>
      <c r="C42" s="3" t="s">
        <v>49</v>
      </c>
      <c r="D42" s="3" t="s">
        <v>55</v>
      </c>
      <c r="E42" s="3" t="s">
        <v>95</v>
      </c>
      <c r="F42" s="5">
        <v>1521.15</v>
      </c>
      <c r="G42" s="3" t="s">
        <v>19</v>
      </c>
      <c r="H42" s="3" t="s">
        <v>20</v>
      </c>
      <c r="I42" s="8">
        <f t="shared" si="0"/>
        <v>45292</v>
      </c>
    </row>
    <row r="43" spans="1:9" x14ac:dyDescent="0.25">
      <c r="A43" s="7" t="s">
        <v>100</v>
      </c>
      <c r="B43" s="4">
        <v>45306</v>
      </c>
      <c r="C43" s="3" t="s">
        <v>33</v>
      </c>
      <c r="D43" s="3" t="s">
        <v>46</v>
      </c>
      <c r="E43" s="3" t="s">
        <v>47</v>
      </c>
      <c r="F43" s="5">
        <v>326.62</v>
      </c>
      <c r="G43" s="3" t="s">
        <v>86</v>
      </c>
      <c r="H43" s="3" t="s">
        <v>14</v>
      </c>
      <c r="I43" s="8">
        <f t="shared" si="0"/>
        <v>45292</v>
      </c>
    </row>
    <row r="44" spans="1:9" x14ac:dyDescent="0.25">
      <c r="A44" s="7" t="s">
        <v>101</v>
      </c>
      <c r="B44" s="4">
        <v>45307</v>
      </c>
      <c r="C44" s="3" t="s">
        <v>22</v>
      </c>
      <c r="D44" s="3" t="s">
        <v>50</v>
      </c>
      <c r="E44" s="3" t="s">
        <v>62</v>
      </c>
      <c r="F44" s="5">
        <v>96.37</v>
      </c>
      <c r="G44" s="3" t="s">
        <v>52</v>
      </c>
      <c r="H44" s="3" t="s">
        <v>14</v>
      </c>
      <c r="I44" s="8">
        <f t="shared" si="0"/>
        <v>45292</v>
      </c>
    </row>
    <row r="45" spans="1:9" x14ac:dyDescent="0.25">
      <c r="A45" s="7" t="s">
        <v>102</v>
      </c>
      <c r="B45" s="4">
        <v>45307</v>
      </c>
      <c r="C45" s="3" t="s">
        <v>16</v>
      </c>
      <c r="D45" s="3" t="s">
        <v>82</v>
      </c>
      <c r="E45" s="3" t="s">
        <v>103</v>
      </c>
      <c r="F45" s="5">
        <v>1873.3</v>
      </c>
      <c r="G45" s="3" t="s">
        <v>13</v>
      </c>
      <c r="H45" s="3" t="s">
        <v>14</v>
      </c>
      <c r="I45" s="8">
        <f t="shared" si="0"/>
        <v>45292</v>
      </c>
    </row>
    <row r="46" spans="1:9" x14ac:dyDescent="0.25">
      <c r="A46" s="7" t="s">
        <v>104</v>
      </c>
      <c r="B46" s="4">
        <v>45307</v>
      </c>
      <c r="C46" s="3" t="s">
        <v>49</v>
      </c>
      <c r="D46" s="3" t="s">
        <v>40</v>
      </c>
      <c r="E46" s="3" t="s">
        <v>105</v>
      </c>
      <c r="F46" s="5">
        <v>253.4</v>
      </c>
      <c r="G46" s="3" t="s">
        <v>19</v>
      </c>
      <c r="H46" s="3" t="s">
        <v>14</v>
      </c>
      <c r="I46" s="8">
        <f t="shared" si="0"/>
        <v>45292</v>
      </c>
    </row>
    <row r="47" spans="1:9" x14ac:dyDescent="0.25">
      <c r="A47" s="7" t="s">
        <v>106</v>
      </c>
      <c r="B47" s="4">
        <v>45307</v>
      </c>
      <c r="C47" s="3" t="s">
        <v>33</v>
      </c>
      <c r="D47" s="3" t="s">
        <v>46</v>
      </c>
      <c r="E47" s="3" t="s">
        <v>47</v>
      </c>
      <c r="F47" s="5">
        <v>439.69</v>
      </c>
      <c r="G47" s="3" t="s">
        <v>86</v>
      </c>
      <c r="H47" s="3" t="s">
        <v>14</v>
      </c>
      <c r="I47" s="8">
        <f t="shared" si="0"/>
        <v>45292</v>
      </c>
    </row>
    <row r="48" spans="1:9" x14ac:dyDescent="0.25">
      <c r="A48" s="7" t="s">
        <v>107</v>
      </c>
      <c r="B48" s="4">
        <v>45308</v>
      </c>
      <c r="C48" s="3" t="s">
        <v>39</v>
      </c>
      <c r="D48" s="3" t="s">
        <v>22</v>
      </c>
      <c r="E48" s="3" t="s">
        <v>93</v>
      </c>
      <c r="F48" s="5">
        <v>108.08</v>
      </c>
      <c r="G48" s="3" t="s">
        <v>19</v>
      </c>
      <c r="H48" s="3" t="s">
        <v>14</v>
      </c>
      <c r="I48" s="8">
        <f t="shared" si="0"/>
        <v>45292</v>
      </c>
    </row>
    <row r="49" spans="1:9" x14ac:dyDescent="0.25">
      <c r="A49" s="7" t="s">
        <v>108</v>
      </c>
      <c r="B49" s="4">
        <v>45308</v>
      </c>
      <c r="C49" s="3" t="s">
        <v>10</v>
      </c>
      <c r="D49" s="3" t="s">
        <v>30</v>
      </c>
      <c r="E49" s="3" t="s">
        <v>31</v>
      </c>
      <c r="F49" s="5">
        <v>225.6</v>
      </c>
      <c r="G49" s="3" t="s">
        <v>19</v>
      </c>
      <c r="H49" s="3" t="s">
        <v>14</v>
      </c>
      <c r="I49" s="8">
        <f t="shared" si="0"/>
        <v>45292</v>
      </c>
    </row>
    <row r="50" spans="1:9" x14ac:dyDescent="0.25">
      <c r="A50" s="7" t="s">
        <v>109</v>
      </c>
      <c r="B50" s="4">
        <v>45308</v>
      </c>
      <c r="C50" s="3" t="s">
        <v>22</v>
      </c>
      <c r="D50" s="3" t="s">
        <v>40</v>
      </c>
      <c r="E50" s="3" t="s">
        <v>41</v>
      </c>
      <c r="F50" s="5">
        <v>262.92</v>
      </c>
      <c r="G50" s="3" t="s">
        <v>27</v>
      </c>
      <c r="H50" s="3" t="s">
        <v>14</v>
      </c>
      <c r="I50" s="8">
        <f t="shared" si="0"/>
        <v>45292</v>
      </c>
    </row>
    <row r="51" spans="1:9" x14ac:dyDescent="0.25">
      <c r="A51" s="7" t="s">
        <v>110</v>
      </c>
      <c r="B51" s="4">
        <v>45309</v>
      </c>
      <c r="C51" s="3" t="s">
        <v>49</v>
      </c>
      <c r="D51" s="3" t="s">
        <v>43</v>
      </c>
      <c r="E51" s="3" t="s">
        <v>44</v>
      </c>
      <c r="F51" s="5">
        <v>310.86</v>
      </c>
      <c r="G51" s="3" t="s">
        <v>13</v>
      </c>
      <c r="H51" s="3" t="s">
        <v>14</v>
      </c>
      <c r="I51" s="8">
        <f t="shared" si="0"/>
        <v>45292</v>
      </c>
    </row>
    <row r="52" spans="1:9" x14ac:dyDescent="0.25">
      <c r="A52" s="7" t="s">
        <v>111</v>
      </c>
      <c r="B52" s="4">
        <v>45310</v>
      </c>
      <c r="C52" s="3" t="s">
        <v>39</v>
      </c>
      <c r="D52" s="3" t="s">
        <v>50</v>
      </c>
      <c r="E52" s="3" t="s">
        <v>70</v>
      </c>
      <c r="F52" s="5">
        <v>19.21</v>
      </c>
      <c r="G52" s="3" t="s">
        <v>24</v>
      </c>
      <c r="H52" s="3" t="s">
        <v>14</v>
      </c>
      <c r="I52" s="8">
        <f t="shared" si="0"/>
        <v>45292</v>
      </c>
    </row>
    <row r="53" spans="1:9" x14ac:dyDescent="0.25">
      <c r="A53" s="7" t="s">
        <v>112</v>
      </c>
      <c r="B53" s="4">
        <v>45311</v>
      </c>
      <c r="C53" s="3" t="s">
        <v>33</v>
      </c>
      <c r="D53" s="3" t="s">
        <v>50</v>
      </c>
      <c r="E53" s="3" t="s">
        <v>51</v>
      </c>
      <c r="F53" s="5">
        <v>144.99</v>
      </c>
      <c r="G53" s="3" t="s">
        <v>52</v>
      </c>
      <c r="H53" s="3" t="s">
        <v>14</v>
      </c>
      <c r="I53" s="8">
        <f t="shared" si="0"/>
        <v>45292</v>
      </c>
    </row>
    <row r="54" spans="1:9" x14ac:dyDescent="0.25">
      <c r="A54" s="7" t="s">
        <v>113</v>
      </c>
      <c r="B54" s="4">
        <v>45311</v>
      </c>
      <c r="C54" s="3" t="s">
        <v>10</v>
      </c>
      <c r="D54" s="3" t="s">
        <v>114</v>
      </c>
      <c r="E54" s="3" t="s">
        <v>115</v>
      </c>
      <c r="F54" s="5">
        <v>961.09</v>
      </c>
      <c r="G54" s="3" t="s">
        <v>24</v>
      </c>
      <c r="H54" s="3" t="s">
        <v>14</v>
      </c>
      <c r="I54" s="8">
        <f t="shared" si="0"/>
        <v>45292</v>
      </c>
    </row>
    <row r="55" spans="1:9" x14ac:dyDescent="0.25">
      <c r="A55" s="7" t="s">
        <v>116</v>
      </c>
      <c r="B55" s="4">
        <v>45311</v>
      </c>
      <c r="C55" s="3" t="s">
        <v>22</v>
      </c>
      <c r="D55" s="3" t="s">
        <v>114</v>
      </c>
      <c r="E55" s="3" t="s">
        <v>117</v>
      </c>
      <c r="F55" s="5">
        <v>144.18</v>
      </c>
      <c r="G55" s="3" t="s">
        <v>24</v>
      </c>
      <c r="H55" s="3" t="s">
        <v>14</v>
      </c>
      <c r="I55" s="8">
        <f t="shared" si="0"/>
        <v>45292</v>
      </c>
    </row>
    <row r="56" spans="1:9" x14ac:dyDescent="0.25">
      <c r="A56" s="7" t="s">
        <v>118</v>
      </c>
      <c r="B56" s="4">
        <v>45311</v>
      </c>
      <c r="C56" s="3" t="s">
        <v>29</v>
      </c>
      <c r="D56" s="3" t="s">
        <v>22</v>
      </c>
      <c r="E56" s="3" t="s">
        <v>93</v>
      </c>
      <c r="F56" s="5">
        <v>1107.3499999999999</v>
      </c>
      <c r="G56" s="3" t="s">
        <v>19</v>
      </c>
      <c r="H56" s="3" t="s">
        <v>14</v>
      </c>
      <c r="I56" s="8">
        <f t="shared" si="0"/>
        <v>45292</v>
      </c>
    </row>
    <row r="57" spans="1:9" x14ac:dyDescent="0.25">
      <c r="A57" s="7" t="s">
        <v>119</v>
      </c>
      <c r="B57" s="4">
        <v>45311</v>
      </c>
      <c r="C57" s="3" t="s">
        <v>16</v>
      </c>
      <c r="D57" s="3" t="s">
        <v>22</v>
      </c>
      <c r="E57" s="3" t="s">
        <v>97</v>
      </c>
      <c r="F57" s="5">
        <v>1182.43</v>
      </c>
      <c r="G57" s="3" t="s">
        <v>27</v>
      </c>
      <c r="H57" s="3" t="s">
        <v>20</v>
      </c>
      <c r="I57" s="8">
        <f t="shared" si="0"/>
        <v>45292</v>
      </c>
    </row>
    <row r="58" spans="1:9" x14ac:dyDescent="0.25">
      <c r="A58" s="7" t="s">
        <v>120</v>
      </c>
      <c r="B58" s="4">
        <v>45312</v>
      </c>
      <c r="C58" s="3" t="s">
        <v>39</v>
      </c>
      <c r="D58" s="3" t="s">
        <v>30</v>
      </c>
      <c r="E58" s="3" t="s">
        <v>34</v>
      </c>
      <c r="F58" s="5">
        <v>212.07</v>
      </c>
      <c r="G58" s="3" t="s">
        <v>24</v>
      </c>
      <c r="H58" s="3" t="s">
        <v>14</v>
      </c>
      <c r="I58" s="8">
        <f t="shared" si="0"/>
        <v>45292</v>
      </c>
    </row>
    <row r="59" spans="1:9" x14ac:dyDescent="0.25">
      <c r="A59" s="7" t="s">
        <v>121</v>
      </c>
      <c r="B59" s="4">
        <v>45312</v>
      </c>
      <c r="C59" s="3" t="s">
        <v>22</v>
      </c>
      <c r="D59" s="3" t="s">
        <v>50</v>
      </c>
      <c r="E59" s="3" t="s">
        <v>62</v>
      </c>
      <c r="F59" s="5">
        <v>34.76</v>
      </c>
      <c r="G59" s="3" t="s">
        <v>24</v>
      </c>
      <c r="H59" s="3" t="s">
        <v>14</v>
      </c>
      <c r="I59" s="8">
        <f t="shared" si="0"/>
        <v>45292</v>
      </c>
    </row>
    <row r="60" spans="1:9" x14ac:dyDescent="0.25">
      <c r="A60" s="7" t="s">
        <v>122</v>
      </c>
      <c r="B60" s="4">
        <v>45312</v>
      </c>
      <c r="C60" s="3" t="s">
        <v>33</v>
      </c>
      <c r="D60" s="3" t="s">
        <v>50</v>
      </c>
      <c r="E60" s="3" t="s">
        <v>62</v>
      </c>
      <c r="F60" s="5">
        <v>60.77</v>
      </c>
      <c r="G60" s="3" t="s">
        <v>24</v>
      </c>
      <c r="H60" s="3" t="s">
        <v>20</v>
      </c>
      <c r="I60" s="8">
        <f t="shared" si="0"/>
        <v>45292</v>
      </c>
    </row>
    <row r="61" spans="1:9" x14ac:dyDescent="0.25">
      <c r="A61" s="7" t="s">
        <v>123</v>
      </c>
      <c r="B61" s="4">
        <v>45312</v>
      </c>
      <c r="C61" s="3" t="s">
        <v>39</v>
      </c>
      <c r="D61" s="3" t="s">
        <v>30</v>
      </c>
      <c r="E61" s="3" t="s">
        <v>31</v>
      </c>
      <c r="F61" s="5">
        <v>61.92</v>
      </c>
      <c r="G61" s="3" t="s">
        <v>24</v>
      </c>
      <c r="H61" s="3" t="s">
        <v>14</v>
      </c>
      <c r="I61" s="8">
        <f t="shared" si="0"/>
        <v>45292</v>
      </c>
    </row>
    <row r="62" spans="1:9" x14ac:dyDescent="0.25">
      <c r="A62" s="7" t="s">
        <v>124</v>
      </c>
      <c r="B62" s="4">
        <v>45312</v>
      </c>
      <c r="C62" s="3" t="s">
        <v>29</v>
      </c>
      <c r="D62" s="3" t="s">
        <v>17</v>
      </c>
      <c r="E62" s="3" t="s">
        <v>80</v>
      </c>
      <c r="F62" s="5">
        <v>330.62</v>
      </c>
      <c r="G62" s="3" t="s">
        <v>19</v>
      </c>
      <c r="H62" s="3" t="s">
        <v>20</v>
      </c>
      <c r="I62" s="8">
        <f t="shared" si="0"/>
        <v>45292</v>
      </c>
    </row>
    <row r="63" spans="1:9" x14ac:dyDescent="0.25">
      <c r="A63" s="7" t="s">
        <v>125</v>
      </c>
      <c r="B63" s="4">
        <v>45313</v>
      </c>
      <c r="C63" s="3" t="s">
        <v>54</v>
      </c>
      <c r="D63" s="3" t="s">
        <v>43</v>
      </c>
      <c r="E63" s="3" t="s">
        <v>44</v>
      </c>
      <c r="F63" s="5">
        <v>386.02</v>
      </c>
      <c r="G63" s="3" t="s">
        <v>13</v>
      </c>
      <c r="H63" s="3" t="s">
        <v>14</v>
      </c>
      <c r="I63" s="8">
        <f t="shared" si="0"/>
        <v>45292</v>
      </c>
    </row>
    <row r="64" spans="1:9" x14ac:dyDescent="0.25">
      <c r="A64" s="7" t="s">
        <v>126</v>
      </c>
      <c r="B64" s="4">
        <v>45313</v>
      </c>
      <c r="C64" s="3" t="s">
        <v>29</v>
      </c>
      <c r="D64" s="3" t="s">
        <v>30</v>
      </c>
      <c r="E64" s="3" t="s">
        <v>34</v>
      </c>
      <c r="F64" s="5">
        <v>72.3</v>
      </c>
      <c r="G64" s="3" t="s">
        <v>52</v>
      </c>
      <c r="H64" s="3" t="s">
        <v>14</v>
      </c>
      <c r="I64" s="8">
        <f t="shared" si="0"/>
        <v>45292</v>
      </c>
    </row>
    <row r="65" spans="1:9" x14ac:dyDescent="0.25">
      <c r="A65" s="7" t="s">
        <v>127</v>
      </c>
      <c r="B65" s="4">
        <v>45314</v>
      </c>
      <c r="C65" s="3" t="s">
        <v>22</v>
      </c>
      <c r="D65" s="3" t="s">
        <v>43</v>
      </c>
      <c r="E65" s="3" t="s">
        <v>78</v>
      </c>
      <c r="F65" s="5">
        <v>272.63</v>
      </c>
      <c r="G65" s="3" t="s">
        <v>13</v>
      </c>
      <c r="H65" s="3" t="s">
        <v>20</v>
      </c>
      <c r="I65" s="8">
        <f t="shared" si="0"/>
        <v>45292</v>
      </c>
    </row>
    <row r="66" spans="1:9" x14ac:dyDescent="0.25">
      <c r="A66" s="7" t="s">
        <v>128</v>
      </c>
      <c r="B66" s="4">
        <v>45314</v>
      </c>
      <c r="C66" s="3" t="s">
        <v>16</v>
      </c>
      <c r="D66" s="3" t="s">
        <v>46</v>
      </c>
      <c r="E66" s="3" t="s">
        <v>47</v>
      </c>
      <c r="F66" s="5">
        <v>434.56</v>
      </c>
      <c r="G66" s="3" t="s">
        <v>13</v>
      </c>
      <c r="H66" s="3" t="s">
        <v>14</v>
      </c>
      <c r="I66" s="8">
        <f t="shared" si="0"/>
        <v>45292</v>
      </c>
    </row>
    <row r="67" spans="1:9" x14ac:dyDescent="0.25">
      <c r="A67" s="7" t="s">
        <v>129</v>
      </c>
      <c r="B67" s="4">
        <v>45315</v>
      </c>
      <c r="C67" s="3" t="s">
        <v>16</v>
      </c>
      <c r="D67" s="3" t="s">
        <v>40</v>
      </c>
      <c r="E67" s="3" t="s">
        <v>130</v>
      </c>
      <c r="F67" s="5">
        <v>529.4</v>
      </c>
      <c r="G67" s="3" t="s">
        <v>19</v>
      </c>
      <c r="H67" s="3" t="s">
        <v>14</v>
      </c>
      <c r="I67" s="8">
        <f t="shared" si="0"/>
        <v>45292</v>
      </c>
    </row>
    <row r="68" spans="1:9" x14ac:dyDescent="0.25">
      <c r="A68" s="7" t="s">
        <v>131</v>
      </c>
      <c r="B68" s="4">
        <v>45315</v>
      </c>
      <c r="C68" s="3" t="s">
        <v>29</v>
      </c>
      <c r="D68" s="3" t="s">
        <v>50</v>
      </c>
      <c r="E68" s="3" t="s">
        <v>51</v>
      </c>
      <c r="F68" s="5">
        <v>54.23</v>
      </c>
      <c r="G68" s="3" t="s">
        <v>24</v>
      </c>
      <c r="H68" s="3" t="s">
        <v>14</v>
      </c>
      <c r="I68" s="8">
        <f t="shared" si="0"/>
        <v>45292</v>
      </c>
    </row>
    <row r="69" spans="1:9" x14ac:dyDescent="0.25">
      <c r="A69" s="7" t="s">
        <v>132</v>
      </c>
      <c r="B69" s="4">
        <v>45315</v>
      </c>
      <c r="C69" s="3" t="s">
        <v>49</v>
      </c>
      <c r="D69" s="3" t="s">
        <v>30</v>
      </c>
      <c r="E69" s="3" t="s">
        <v>34</v>
      </c>
      <c r="F69" s="5">
        <v>81.64</v>
      </c>
      <c r="G69" s="3" t="s">
        <v>24</v>
      </c>
      <c r="H69" s="3" t="s">
        <v>14</v>
      </c>
      <c r="I69" s="8">
        <f t="shared" ref="I69:I132" si="1">DATE(YEAR(B69),MONTH(B69),1)</f>
        <v>45292</v>
      </c>
    </row>
    <row r="70" spans="1:9" x14ac:dyDescent="0.25">
      <c r="A70" s="7" t="s">
        <v>133</v>
      </c>
      <c r="B70" s="4">
        <v>45315</v>
      </c>
      <c r="C70" s="3" t="s">
        <v>49</v>
      </c>
      <c r="D70" s="3" t="s">
        <v>114</v>
      </c>
      <c r="E70" s="3" t="s">
        <v>117</v>
      </c>
      <c r="F70" s="5">
        <v>1142.73</v>
      </c>
      <c r="G70" s="3" t="s">
        <v>19</v>
      </c>
      <c r="H70" s="3" t="s">
        <v>14</v>
      </c>
      <c r="I70" s="8">
        <f t="shared" si="1"/>
        <v>45292</v>
      </c>
    </row>
    <row r="71" spans="1:9" x14ac:dyDescent="0.25">
      <c r="A71" s="7" t="s">
        <v>134</v>
      </c>
      <c r="B71" s="4">
        <v>45315</v>
      </c>
      <c r="C71" s="3" t="s">
        <v>39</v>
      </c>
      <c r="D71" s="3" t="s">
        <v>22</v>
      </c>
      <c r="E71" s="3" t="s">
        <v>93</v>
      </c>
      <c r="F71" s="5">
        <v>2293.7399999999998</v>
      </c>
      <c r="G71" s="3" t="s">
        <v>27</v>
      </c>
      <c r="H71" s="3" t="s">
        <v>14</v>
      </c>
      <c r="I71" s="8">
        <f t="shared" si="1"/>
        <v>45292</v>
      </c>
    </row>
    <row r="72" spans="1:9" x14ac:dyDescent="0.25">
      <c r="A72" s="7" t="s">
        <v>135</v>
      </c>
      <c r="B72" s="4">
        <v>45315</v>
      </c>
      <c r="C72" s="3" t="s">
        <v>22</v>
      </c>
      <c r="D72" s="3" t="s">
        <v>17</v>
      </c>
      <c r="E72" s="3" t="s">
        <v>136</v>
      </c>
      <c r="F72" s="5">
        <v>739.32</v>
      </c>
      <c r="G72" s="3" t="s">
        <v>19</v>
      </c>
      <c r="H72" s="3" t="s">
        <v>20</v>
      </c>
      <c r="I72" s="8">
        <f t="shared" si="1"/>
        <v>45292</v>
      </c>
    </row>
    <row r="73" spans="1:9" x14ac:dyDescent="0.25">
      <c r="A73" s="7" t="s">
        <v>137</v>
      </c>
      <c r="B73" s="4">
        <v>45316</v>
      </c>
      <c r="C73" s="3" t="s">
        <v>39</v>
      </c>
      <c r="D73" s="3" t="s">
        <v>40</v>
      </c>
      <c r="E73" s="3" t="s">
        <v>138</v>
      </c>
      <c r="F73" s="5">
        <v>434.32</v>
      </c>
      <c r="G73" s="3" t="s">
        <v>19</v>
      </c>
      <c r="H73" s="3" t="s">
        <v>20</v>
      </c>
      <c r="I73" s="8">
        <f t="shared" si="1"/>
        <v>45292</v>
      </c>
    </row>
    <row r="74" spans="1:9" x14ac:dyDescent="0.25">
      <c r="A74" s="7" t="s">
        <v>139</v>
      </c>
      <c r="B74" s="4">
        <v>45316</v>
      </c>
      <c r="C74" s="3" t="s">
        <v>22</v>
      </c>
      <c r="D74" s="3" t="s">
        <v>55</v>
      </c>
      <c r="E74" s="3" t="s">
        <v>95</v>
      </c>
      <c r="F74" s="5">
        <v>227.27</v>
      </c>
      <c r="G74" s="3" t="s">
        <v>27</v>
      </c>
      <c r="H74" s="3" t="s">
        <v>14</v>
      </c>
      <c r="I74" s="8">
        <f t="shared" si="1"/>
        <v>45292</v>
      </c>
    </row>
    <row r="75" spans="1:9" x14ac:dyDescent="0.25">
      <c r="A75" s="7" t="s">
        <v>140</v>
      </c>
      <c r="B75" s="4">
        <v>45317</v>
      </c>
      <c r="C75" s="3" t="s">
        <v>54</v>
      </c>
      <c r="D75" s="3" t="s">
        <v>50</v>
      </c>
      <c r="E75" s="3" t="s">
        <v>62</v>
      </c>
      <c r="F75" s="5">
        <v>78.75</v>
      </c>
      <c r="G75" s="3" t="s">
        <v>24</v>
      </c>
      <c r="H75" s="3" t="s">
        <v>14</v>
      </c>
      <c r="I75" s="8">
        <f t="shared" si="1"/>
        <v>45292</v>
      </c>
    </row>
    <row r="76" spans="1:9" x14ac:dyDescent="0.25">
      <c r="A76" s="7" t="s">
        <v>141</v>
      </c>
      <c r="B76" s="4">
        <v>45317</v>
      </c>
      <c r="C76" s="3" t="s">
        <v>10</v>
      </c>
      <c r="D76" s="3" t="s">
        <v>55</v>
      </c>
      <c r="E76" s="3" t="s">
        <v>142</v>
      </c>
      <c r="F76" s="5">
        <v>1490.26</v>
      </c>
      <c r="G76" s="3" t="s">
        <v>19</v>
      </c>
      <c r="H76" s="3" t="s">
        <v>14</v>
      </c>
      <c r="I76" s="8">
        <f t="shared" si="1"/>
        <v>45292</v>
      </c>
    </row>
    <row r="77" spans="1:9" x14ac:dyDescent="0.25">
      <c r="A77" s="7" t="s">
        <v>143</v>
      </c>
      <c r="B77" s="4">
        <v>45317</v>
      </c>
      <c r="C77" s="3" t="s">
        <v>39</v>
      </c>
      <c r="D77" s="3" t="s">
        <v>17</v>
      </c>
      <c r="E77" s="3" t="s">
        <v>136</v>
      </c>
      <c r="F77" s="5">
        <v>398.21</v>
      </c>
      <c r="G77" s="3" t="s">
        <v>24</v>
      </c>
      <c r="H77" s="3" t="s">
        <v>14</v>
      </c>
      <c r="I77" s="8">
        <f t="shared" si="1"/>
        <v>45292</v>
      </c>
    </row>
    <row r="78" spans="1:9" x14ac:dyDescent="0.25">
      <c r="A78" s="7" t="s">
        <v>144</v>
      </c>
      <c r="B78" s="4">
        <v>45318</v>
      </c>
      <c r="C78" s="3" t="s">
        <v>54</v>
      </c>
      <c r="D78" s="3" t="s">
        <v>36</v>
      </c>
      <c r="E78" s="3" t="s">
        <v>145</v>
      </c>
      <c r="F78" s="5">
        <v>94.88</v>
      </c>
      <c r="G78" s="3" t="s">
        <v>19</v>
      </c>
      <c r="H78" s="3" t="s">
        <v>14</v>
      </c>
      <c r="I78" s="8">
        <f t="shared" si="1"/>
        <v>45292</v>
      </c>
    </row>
    <row r="79" spans="1:9" x14ac:dyDescent="0.25">
      <c r="A79" s="7" t="s">
        <v>146</v>
      </c>
      <c r="B79" s="4">
        <v>45318</v>
      </c>
      <c r="C79" s="3" t="s">
        <v>49</v>
      </c>
      <c r="D79" s="3" t="s">
        <v>30</v>
      </c>
      <c r="E79" s="3" t="s">
        <v>60</v>
      </c>
      <c r="F79" s="5">
        <v>341.09</v>
      </c>
      <c r="G79" s="3" t="s">
        <v>24</v>
      </c>
      <c r="H79" s="3" t="s">
        <v>14</v>
      </c>
      <c r="I79" s="8">
        <f t="shared" si="1"/>
        <v>45292</v>
      </c>
    </row>
    <row r="80" spans="1:9" x14ac:dyDescent="0.25">
      <c r="A80" s="7" t="s">
        <v>147</v>
      </c>
      <c r="B80" s="4">
        <v>45318</v>
      </c>
      <c r="C80" s="3" t="s">
        <v>54</v>
      </c>
      <c r="D80" s="3" t="s">
        <v>40</v>
      </c>
      <c r="E80" s="3" t="s">
        <v>148</v>
      </c>
      <c r="F80" s="5">
        <v>864.69</v>
      </c>
      <c r="G80" s="3" t="s">
        <v>19</v>
      </c>
      <c r="H80" s="3" t="s">
        <v>14</v>
      </c>
      <c r="I80" s="8">
        <f t="shared" si="1"/>
        <v>45292</v>
      </c>
    </row>
    <row r="81" spans="1:9" x14ac:dyDescent="0.25">
      <c r="A81" s="7" t="s">
        <v>149</v>
      </c>
      <c r="B81" s="4">
        <v>45318</v>
      </c>
      <c r="C81" s="3" t="s">
        <v>10</v>
      </c>
      <c r="D81" s="3" t="s">
        <v>36</v>
      </c>
      <c r="E81" s="3" t="s">
        <v>150</v>
      </c>
      <c r="F81" s="5">
        <v>198.52</v>
      </c>
      <c r="G81" s="3" t="s">
        <v>27</v>
      </c>
      <c r="H81" s="3" t="s">
        <v>14</v>
      </c>
      <c r="I81" s="8">
        <f t="shared" si="1"/>
        <v>45292</v>
      </c>
    </row>
    <row r="82" spans="1:9" x14ac:dyDescent="0.25">
      <c r="A82" s="7" t="s">
        <v>151</v>
      </c>
      <c r="B82" s="4">
        <v>45318</v>
      </c>
      <c r="C82" s="3" t="s">
        <v>49</v>
      </c>
      <c r="D82" s="3" t="s">
        <v>40</v>
      </c>
      <c r="E82" s="3" t="s">
        <v>41</v>
      </c>
      <c r="F82" s="5">
        <v>32.479999999999997</v>
      </c>
      <c r="G82" s="3" t="s">
        <v>19</v>
      </c>
      <c r="H82" s="3" t="s">
        <v>14</v>
      </c>
      <c r="I82" s="8">
        <f t="shared" si="1"/>
        <v>45292</v>
      </c>
    </row>
    <row r="83" spans="1:9" x14ac:dyDescent="0.25">
      <c r="A83" s="7" t="s">
        <v>152</v>
      </c>
      <c r="B83" s="4">
        <v>45319</v>
      </c>
      <c r="C83" s="3" t="s">
        <v>39</v>
      </c>
      <c r="D83" s="3" t="s">
        <v>50</v>
      </c>
      <c r="E83" s="3" t="s">
        <v>51</v>
      </c>
      <c r="F83" s="5">
        <v>29.34</v>
      </c>
      <c r="G83" s="3" t="s">
        <v>52</v>
      </c>
      <c r="H83" s="3" t="s">
        <v>20</v>
      </c>
      <c r="I83" s="8">
        <f t="shared" si="1"/>
        <v>45292</v>
      </c>
    </row>
    <row r="84" spans="1:9" x14ac:dyDescent="0.25">
      <c r="A84" s="7" t="s">
        <v>153</v>
      </c>
      <c r="B84" s="4">
        <v>45319</v>
      </c>
      <c r="C84" s="3" t="s">
        <v>10</v>
      </c>
      <c r="D84" s="3" t="s">
        <v>17</v>
      </c>
      <c r="E84" s="3" t="s">
        <v>154</v>
      </c>
      <c r="F84" s="5">
        <v>105.52</v>
      </c>
      <c r="G84" s="3" t="s">
        <v>19</v>
      </c>
      <c r="H84" s="3" t="s">
        <v>14</v>
      </c>
      <c r="I84" s="8">
        <f t="shared" si="1"/>
        <v>45292</v>
      </c>
    </row>
    <row r="85" spans="1:9" x14ac:dyDescent="0.25">
      <c r="A85" s="7" t="s">
        <v>155</v>
      </c>
      <c r="B85" s="4">
        <v>45319</v>
      </c>
      <c r="C85" s="3" t="s">
        <v>16</v>
      </c>
      <c r="D85" s="3" t="s">
        <v>22</v>
      </c>
      <c r="E85" s="3" t="s">
        <v>97</v>
      </c>
      <c r="F85" s="5">
        <v>312.48</v>
      </c>
      <c r="G85" s="3" t="s">
        <v>27</v>
      </c>
      <c r="H85" s="3" t="s">
        <v>14</v>
      </c>
      <c r="I85" s="8">
        <f t="shared" si="1"/>
        <v>45292</v>
      </c>
    </row>
    <row r="86" spans="1:9" x14ac:dyDescent="0.25">
      <c r="A86" s="7" t="s">
        <v>156</v>
      </c>
      <c r="B86" s="4">
        <v>45319</v>
      </c>
      <c r="C86" s="3" t="s">
        <v>29</v>
      </c>
      <c r="D86" s="3" t="s">
        <v>114</v>
      </c>
      <c r="E86" s="3" t="s">
        <v>157</v>
      </c>
      <c r="F86" s="5">
        <v>340.05</v>
      </c>
      <c r="G86" s="3" t="s">
        <v>24</v>
      </c>
      <c r="H86" s="3" t="s">
        <v>14</v>
      </c>
      <c r="I86" s="8">
        <f t="shared" si="1"/>
        <v>45292</v>
      </c>
    </row>
    <row r="87" spans="1:9" x14ac:dyDescent="0.25">
      <c r="A87" s="7" t="s">
        <v>158</v>
      </c>
      <c r="B87" s="4">
        <v>45319</v>
      </c>
      <c r="C87" s="3" t="s">
        <v>10</v>
      </c>
      <c r="D87" s="3" t="s">
        <v>36</v>
      </c>
      <c r="E87" s="3" t="s">
        <v>37</v>
      </c>
      <c r="F87" s="5">
        <v>197.39</v>
      </c>
      <c r="G87" s="3" t="s">
        <v>19</v>
      </c>
      <c r="H87" s="3" t="s">
        <v>20</v>
      </c>
      <c r="I87" s="8">
        <f t="shared" si="1"/>
        <v>45292</v>
      </c>
    </row>
    <row r="88" spans="1:9" x14ac:dyDescent="0.25">
      <c r="A88" s="7" t="s">
        <v>159</v>
      </c>
      <c r="B88" s="4">
        <v>45319</v>
      </c>
      <c r="C88" s="3" t="s">
        <v>54</v>
      </c>
      <c r="D88" s="3" t="s">
        <v>30</v>
      </c>
      <c r="E88" s="3" t="s">
        <v>31</v>
      </c>
      <c r="F88" s="5">
        <v>81.319999999999993</v>
      </c>
      <c r="G88" s="3" t="s">
        <v>24</v>
      </c>
      <c r="H88" s="3" t="s">
        <v>14</v>
      </c>
      <c r="I88" s="8">
        <f t="shared" si="1"/>
        <v>45292</v>
      </c>
    </row>
    <row r="89" spans="1:9" x14ac:dyDescent="0.25">
      <c r="A89" s="7" t="s">
        <v>160</v>
      </c>
      <c r="B89" s="4">
        <v>45320</v>
      </c>
      <c r="C89" s="3" t="s">
        <v>10</v>
      </c>
      <c r="D89" s="3" t="s">
        <v>36</v>
      </c>
      <c r="E89" s="3" t="s">
        <v>145</v>
      </c>
      <c r="F89" s="5">
        <v>172.44</v>
      </c>
      <c r="G89" s="3" t="s">
        <v>27</v>
      </c>
      <c r="H89" s="3" t="s">
        <v>14</v>
      </c>
      <c r="I89" s="8">
        <f t="shared" si="1"/>
        <v>45292</v>
      </c>
    </row>
    <row r="90" spans="1:9" x14ac:dyDescent="0.25">
      <c r="A90" s="7" t="s">
        <v>161</v>
      </c>
      <c r="B90" s="4">
        <v>45320</v>
      </c>
      <c r="C90" s="3" t="s">
        <v>54</v>
      </c>
      <c r="D90" s="3" t="s">
        <v>55</v>
      </c>
      <c r="E90" s="3" t="s">
        <v>162</v>
      </c>
      <c r="F90" s="5">
        <v>512.19000000000005</v>
      </c>
      <c r="G90" s="3" t="s">
        <v>19</v>
      </c>
      <c r="H90" s="3" t="s">
        <v>14</v>
      </c>
      <c r="I90" s="8">
        <f t="shared" si="1"/>
        <v>45292</v>
      </c>
    </row>
    <row r="91" spans="1:9" x14ac:dyDescent="0.25">
      <c r="A91" s="7" t="s">
        <v>163</v>
      </c>
      <c r="B91" s="4">
        <v>45320</v>
      </c>
      <c r="C91" s="3" t="s">
        <v>54</v>
      </c>
      <c r="D91" s="3" t="s">
        <v>17</v>
      </c>
      <c r="E91" s="3" t="s">
        <v>154</v>
      </c>
      <c r="F91" s="5">
        <v>1423.84</v>
      </c>
      <c r="G91" s="3" t="s">
        <v>24</v>
      </c>
      <c r="H91" s="3" t="s">
        <v>20</v>
      </c>
      <c r="I91" s="8">
        <f t="shared" si="1"/>
        <v>45292</v>
      </c>
    </row>
    <row r="92" spans="1:9" x14ac:dyDescent="0.25">
      <c r="A92" s="7" t="s">
        <v>164</v>
      </c>
      <c r="B92" s="4">
        <v>45320</v>
      </c>
      <c r="C92" s="3" t="s">
        <v>54</v>
      </c>
      <c r="D92" s="3" t="s">
        <v>114</v>
      </c>
      <c r="E92" s="3" t="s">
        <v>157</v>
      </c>
      <c r="F92" s="5">
        <v>189.39</v>
      </c>
      <c r="G92" s="3" t="s">
        <v>19</v>
      </c>
      <c r="H92" s="3" t="s">
        <v>14</v>
      </c>
      <c r="I92" s="8">
        <f t="shared" si="1"/>
        <v>45292</v>
      </c>
    </row>
    <row r="93" spans="1:9" x14ac:dyDescent="0.25">
      <c r="A93" s="7" t="s">
        <v>165</v>
      </c>
      <c r="B93" s="4">
        <v>45320</v>
      </c>
      <c r="C93" s="3" t="s">
        <v>49</v>
      </c>
      <c r="D93" s="3" t="s">
        <v>50</v>
      </c>
      <c r="E93" s="3" t="s">
        <v>166</v>
      </c>
      <c r="F93" s="5">
        <v>126.91</v>
      </c>
      <c r="G93" s="3" t="s">
        <v>24</v>
      </c>
      <c r="H93" s="3" t="s">
        <v>14</v>
      </c>
      <c r="I93" s="8">
        <f t="shared" si="1"/>
        <v>45292</v>
      </c>
    </row>
    <row r="94" spans="1:9" x14ac:dyDescent="0.25">
      <c r="A94" s="7" t="s">
        <v>167</v>
      </c>
      <c r="B94" s="4">
        <v>45321</v>
      </c>
      <c r="C94" s="3" t="s">
        <v>49</v>
      </c>
      <c r="D94" s="3" t="s">
        <v>30</v>
      </c>
      <c r="E94" s="3" t="s">
        <v>60</v>
      </c>
      <c r="F94" s="5">
        <v>248.66</v>
      </c>
      <c r="G94" s="3" t="s">
        <v>24</v>
      </c>
      <c r="H94" s="3" t="s">
        <v>20</v>
      </c>
      <c r="I94" s="8">
        <f t="shared" si="1"/>
        <v>45292</v>
      </c>
    </row>
    <row r="95" spans="1:9" x14ac:dyDescent="0.25">
      <c r="A95" s="7" t="s">
        <v>168</v>
      </c>
      <c r="B95" s="4">
        <v>45321</v>
      </c>
      <c r="C95" s="3" t="s">
        <v>39</v>
      </c>
      <c r="D95" s="3" t="s">
        <v>30</v>
      </c>
      <c r="E95" s="3" t="s">
        <v>169</v>
      </c>
      <c r="F95" s="5">
        <v>17.05</v>
      </c>
      <c r="G95" s="3" t="s">
        <v>24</v>
      </c>
      <c r="H95" s="3" t="s">
        <v>14</v>
      </c>
      <c r="I95" s="8">
        <f t="shared" si="1"/>
        <v>45292</v>
      </c>
    </row>
    <row r="96" spans="1:9" x14ac:dyDescent="0.25">
      <c r="A96" s="7" t="s">
        <v>170</v>
      </c>
      <c r="B96" s="4">
        <v>45321</v>
      </c>
      <c r="C96" s="3" t="s">
        <v>49</v>
      </c>
      <c r="D96" s="3" t="s">
        <v>17</v>
      </c>
      <c r="E96" s="3" t="s">
        <v>171</v>
      </c>
      <c r="F96" s="5">
        <v>543.47</v>
      </c>
      <c r="G96" s="3" t="s">
        <v>24</v>
      </c>
      <c r="H96" s="3" t="s">
        <v>20</v>
      </c>
      <c r="I96" s="8">
        <f t="shared" si="1"/>
        <v>45292</v>
      </c>
    </row>
    <row r="97" spans="1:9" x14ac:dyDescent="0.25">
      <c r="A97" s="7" t="s">
        <v>172</v>
      </c>
      <c r="B97" s="4">
        <v>45321</v>
      </c>
      <c r="C97" s="3" t="s">
        <v>29</v>
      </c>
      <c r="D97" s="3" t="s">
        <v>17</v>
      </c>
      <c r="E97" s="3" t="s">
        <v>68</v>
      </c>
      <c r="F97" s="5">
        <v>713.52</v>
      </c>
      <c r="G97" s="3" t="s">
        <v>19</v>
      </c>
      <c r="H97" s="3" t="s">
        <v>14</v>
      </c>
      <c r="I97" s="8">
        <f t="shared" si="1"/>
        <v>45292</v>
      </c>
    </row>
    <row r="98" spans="1:9" x14ac:dyDescent="0.25">
      <c r="A98" s="7" t="s">
        <v>173</v>
      </c>
      <c r="B98" s="4">
        <v>45322</v>
      </c>
      <c r="C98" s="3" t="s">
        <v>49</v>
      </c>
      <c r="D98" s="3" t="s">
        <v>114</v>
      </c>
      <c r="E98" s="3" t="s">
        <v>117</v>
      </c>
      <c r="F98" s="5">
        <v>930.2</v>
      </c>
      <c r="G98" s="3" t="s">
        <v>19</v>
      </c>
      <c r="H98" s="3" t="s">
        <v>20</v>
      </c>
      <c r="I98" s="8">
        <f t="shared" si="1"/>
        <v>45292</v>
      </c>
    </row>
    <row r="99" spans="1:9" x14ac:dyDescent="0.25">
      <c r="A99" s="7" t="s">
        <v>174</v>
      </c>
      <c r="B99" s="4">
        <v>45322</v>
      </c>
      <c r="C99" s="3" t="s">
        <v>49</v>
      </c>
      <c r="D99" s="3" t="s">
        <v>22</v>
      </c>
      <c r="E99" s="3" t="s">
        <v>175</v>
      </c>
      <c r="F99" s="5">
        <v>2263.6</v>
      </c>
      <c r="G99" s="3" t="s">
        <v>27</v>
      </c>
      <c r="H99" s="3" t="s">
        <v>14</v>
      </c>
      <c r="I99" s="8">
        <f t="shared" si="1"/>
        <v>45292</v>
      </c>
    </row>
    <row r="100" spans="1:9" x14ac:dyDescent="0.25">
      <c r="A100" s="7" t="s">
        <v>176</v>
      </c>
      <c r="B100" s="4">
        <v>45322</v>
      </c>
      <c r="C100" s="3" t="s">
        <v>33</v>
      </c>
      <c r="D100" s="3" t="s">
        <v>17</v>
      </c>
      <c r="E100" s="3" t="s">
        <v>23</v>
      </c>
      <c r="F100" s="5">
        <v>514.74</v>
      </c>
      <c r="G100" s="3" t="s">
        <v>19</v>
      </c>
      <c r="H100" s="3" t="s">
        <v>14</v>
      </c>
      <c r="I100" s="8">
        <f t="shared" si="1"/>
        <v>45292</v>
      </c>
    </row>
    <row r="101" spans="1:9" x14ac:dyDescent="0.25">
      <c r="A101" s="7" t="s">
        <v>177</v>
      </c>
      <c r="B101" s="4">
        <v>45322</v>
      </c>
      <c r="C101" s="3" t="s">
        <v>39</v>
      </c>
      <c r="D101" s="3" t="s">
        <v>40</v>
      </c>
      <c r="E101" s="3" t="s">
        <v>105</v>
      </c>
      <c r="F101" s="5">
        <v>770.86</v>
      </c>
      <c r="G101" s="3" t="s">
        <v>19</v>
      </c>
      <c r="H101" s="3" t="s">
        <v>20</v>
      </c>
      <c r="I101" s="8">
        <f t="shared" si="1"/>
        <v>45292</v>
      </c>
    </row>
    <row r="102" spans="1:9" x14ac:dyDescent="0.25">
      <c r="A102" s="7" t="s">
        <v>178</v>
      </c>
      <c r="B102" s="4">
        <v>45323</v>
      </c>
      <c r="C102" s="3" t="s">
        <v>29</v>
      </c>
      <c r="D102" s="3" t="s">
        <v>55</v>
      </c>
      <c r="E102" s="3" t="s">
        <v>56</v>
      </c>
      <c r="F102" s="5">
        <v>99.51</v>
      </c>
      <c r="G102" s="3" t="s">
        <v>19</v>
      </c>
      <c r="H102" s="3" t="s">
        <v>14</v>
      </c>
      <c r="I102" s="8">
        <f t="shared" si="1"/>
        <v>45323</v>
      </c>
    </row>
    <row r="103" spans="1:9" x14ac:dyDescent="0.25">
      <c r="A103" s="7" t="s">
        <v>179</v>
      </c>
      <c r="B103" s="4">
        <v>45323</v>
      </c>
      <c r="C103" s="3" t="s">
        <v>29</v>
      </c>
      <c r="D103" s="3" t="s">
        <v>50</v>
      </c>
      <c r="E103" s="3" t="s">
        <v>62</v>
      </c>
      <c r="F103" s="5">
        <v>130.84</v>
      </c>
      <c r="G103" s="3" t="s">
        <v>52</v>
      </c>
      <c r="H103" s="3" t="s">
        <v>14</v>
      </c>
      <c r="I103" s="8">
        <f t="shared" si="1"/>
        <v>45323</v>
      </c>
    </row>
    <row r="104" spans="1:9" x14ac:dyDescent="0.25">
      <c r="A104" s="7" t="s">
        <v>180</v>
      </c>
      <c r="B104" s="4">
        <v>45323</v>
      </c>
      <c r="C104" s="3" t="s">
        <v>54</v>
      </c>
      <c r="D104" s="3" t="s">
        <v>11</v>
      </c>
      <c r="E104" s="3" t="s">
        <v>12</v>
      </c>
      <c r="F104" s="5">
        <v>15000</v>
      </c>
      <c r="G104" s="3" t="s">
        <v>13</v>
      </c>
      <c r="H104" s="3" t="s">
        <v>14</v>
      </c>
      <c r="I104" s="8">
        <f t="shared" si="1"/>
        <v>45323</v>
      </c>
    </row>
    <row r="105" spans="1:9" x14ac:dyDescent="0.25">
      <c r="A105" s="7" t="s">
        <v>181</v>
      </c>
      <c r="B105" s="4">
        <v>45323</v>
      </c>
      <c r="C105" s="3" t="s">
        <v>39</v>
      </c>
      <c r="D105" s="3" t="s">
        <v>40</v>
      </c>
      <c r="E105" s="3" t="s">
        <v>182</v>
      </c>
      <c r="F105" s="5">
        <v>327.77</v>
      </c>
      <c r="G105" s="3" t="s">
        <v>19</v>
      </c>
      <c r="H105" s="3" t="s">
        <v>14</v>
      </c>
      <c r="I105" s="8">
        <f t="shared" si="1"/>
        <v>45323</v>
      </c>
    </row>
    <row r="106" spans="1:9" x14ac:dyDescent="0.25">
      <c r="A106" s="7" t="s">
        <v>183</v>
      </c>
      <c r="B106" s="4">
        <v>45324</v>
      </c>
      <c r="C106" s="3" t="s">
        <v>22</v>
      </c>
      <c r="D106" s="3" t="s">
        <v>17</v>
      </c>
      <c r="E106" s="3" t="s">
        <v>154</v>
      </c>
      <c r="F106" s="5">
        <v>567.78</v>
      </c>
      <c r="G106" s="3" t="s">
        <v>19</v>
      </c>
      <c r="H106" s="3" t="s">
        <v>20</v>
      </c>
      <c r="I106" s="8">
        <f t="shared" si="1"/>
        <v>45323</v>
      </c>
    </row>
    <row r="107" spans="1:9" x14ac:dyDescent="0.25">
      <c r="A107" s="7" t="s">
        <v>184</v>
      </c>
      <c r="B107" s="4">
        <v>45324</v>
      </c>
      <c r="C107" s="3" t="s">
        <v>29</v>
      </c>
      <c r="D107" s="3" t="s">
        <v>30</v>
      </c>
      <c r="E107" s="3" t="s">
        <v>185</v>
      </c>
      <c r="F107" s="5">
        <v>230.48</v>
      </c>
      <c r="G107" s="3" t="s">
        <v>19</v>
      </c>
      <c r="H107" s="3" t="s">
        <v>14</v>
      </c>
      <c r="I107" s="8">
        <f t="shared" si="1"/>
        <v>45323</v>
      </c>
    </row>
    <row r="108" spans="1:9" x14ac:dyDescent="0.25">
      <c r="A108" s="7" t="s">
        <v>186</v>
      </c>
      <c r="B108" s="4">
        <v>45325</v>
      </c>
      <c r="C108" s="3" t="s">
        <v>16</v>
      </c>
      <c r="D108" s="3" t="s">
        <v>46</v>
      </c>
      <c r="E108" s="3" t="s">
        <v>187</v>
      </c>
      <c r="F108" s="5">
        <v>254.35</v>
      </c>
      <c r="G108" s="3" t="s">
        <v>13</v>
      </c>
      <c r="H108" s="3" t="s">
        <v>14</v>
      </c>
      <c r="I108" s="8">
        <f t="shared" si="1"/>
        <v>45323</v>
      </c>
    </row>
    <row r="109" spans="1:9" x14ac:dyDescent="0.25">
      <c r="A109" s="7" t="s">
        <v>188</v>
      </c>
      <c r="B109" s="4">
        <v>45325</v>
      </c>
      <c r="C109" s="3" t="s">
        <v>22</v>
      </c>
      <c r="D109" s="3" t="s">
        <v>46</v>
      </c>
      <c r="E109" s="3" t="s">
        <v>187</v>
      </c>
      <c r="F109" s="5">
        <v>308.20999999999998</v>
      </c>
      <c r="G109" s="3" t="s">
        <v>13</v>
      </c>
      <c r="H109" s="3" t="s">
        <v>14</v>
      </c>
      <c r="I109" s="8">
        <f t="shared" si="1"/>
        <v>45323</v>
      </c>
    </row>
    <row r="110" spans="1:9" x14ac:dyDescent="0.25">
      <c r="A110" s="7" t="s">
        <v>189</v>
      </c>
      <c r="B110" s="4">
        <v>45325</v>
      </c>
      <c r="C110" s="3" t="s">
        <v>39</v>
      </c>
      <c r="D110" s="3" t="s">
        <v>36</v>
      </c>
      <c r="E110" s="3" t="s">
        <v>150</v>
      </c>
      <c r="F110" s="5">
        <v>238.39</v>
      </c>
      <c r="G110" s="3" t="s">
        <v>27</v>
      </c>
      <c r="H110" s="3" t="s">
        <v>20</v>
      </c>
      <c r="I110" s="8">
        <f t="shared" si="1"/>
        <v>45323</v>
      </c>
    </row>
    <row r="111" spans="1:9" x14ac:dyDescent="0.25">
      <c r="A111" s="7" t="s">
        <v>190</v>
      </c>
      <c r="B111" s="4">
        <v>45326</v>
      </c>
      <c r="C111" s="3" t="s">
        <v>22</v>
      </c>
      <c r="D111" s="3" t="s">
        <v>114</v>
      </c>
      <c r="E111" s="3" t="s">
        <v>115</v>
      </c>
      <c r="F111" s="5">
        <v>638.08000000000004</v>
      </c>
      <c r="G111" s="3" t="s">
        <v>19</v>
      </c>
      <c r="H111" s="3" t="s">
        <v>14</v>
      </c>
      <c r="I111" s="8">
        <f t="shared" si="1"/>
        <v>45323</v>
      </c>
    </row>
    <row r="112" spans="1:9" x14ac:dyDescent="0.25">
      <c r="A112" s="7" t="s">
        <v>191</v>
      </c>
      <c r="B112" s="4">
        <v>45326</v>
      </c>
      <c r="C112" s="3" t="s">
        <v>39</v>
      </c>
      <c r="D112" s="3" t="s">
        <v>17</v>
      </c>
      <c r="E112" s="3" t="s">
        <v>154</v>
      </c>
      <c r="F112" s="5">
        <v>493.68</v>
      </c>
      <c r="G112" s="3" t="s">
        <v>24</v>
      </c>
      <c r="H112" s="3" t="s">
        <v>14</v>
      </c>
      <c r="I112" s="8">
        <f t="shared" si="1"/>
        <v>45323</v>
      </c>
    </row>
    <row r="113" spans="1:9" x14ac:dyDescent="0.25">
      <c r="A113" s="7" t="s">
        <v>192</v>
      </c>
      <c r="B113" s="4">
        <v>45327</v>
      </c>
      <c r="C113" s="3" t="s">
        <v>22</v>
      </c>
      <c r="D113" s="3" t="s">
        <v>30</v>
      </c>
      <c r="E113" s="3" t="s">
        <v>34</v>
      </c>
      <c r="F113" s="5">
        <v>154.1</v>
      </c>
      <c r="G113" s="3" t="s">
        <v>24</v>
      </c>
      <c r="H113" s="3" t="s">
        <v>14</v>
      </c>
      <c r="I113" s="8">
        <f t="shared" si="1"/>
        <v>45323</v>
      </c>
    </row>
    <row r="114" spans="1:9" x14ac:dyDescent="0.25">
      <c r="A114" s="7" t="s">
        <v>193</v>
      </c>
      <c r="B114" s="4">
        <v>45327</v>
      </c>
      <c r="C114" s="3" t="s">
        <v>54</v>
      </c>
      <c r="D114" s="3" t="s">
        <v>55</v>
      </c>
      <c r="E114" s="3" t="s">
        <v>56</v>
      </c>
      <c r="F114" s="5">
        <v>45.24</v>
      </c>
      <c r="G114" s="3" t="s">
        <v>27</v>
      </c>
      <c r="H114" s="3" t="s">
        <v>14</v>
      </c>
      <c r="I114" s="8">
        <f t="shared" si="1"/>
        <v>45323</v>
      </c>
    </row>
    <row r="115" spans="1:9" x14ac:dyDescent="0.25">
      <c r="A115" s="7" t="s">
        <v>194</v>
      </c>
      <c r="B115" s="4">
        <v>45327</v>
      </c>
      <c r="C115" s="3" t="s">
        <v>33</v>
      </c>
      <c r="D115" s="3" t="s">
        <v>22</v>
      </c>
      <c r="E115" s="3" t="s">
        <v>93</v>
      </c>
      <c r="F115" s="5">
        <v>2032.18</v>
      </c>
      <c r="G115" s="3" t="s">
        <v>19</v>
      </c>
      <c r="H115" s="3" t="s">
        <v>14</v>
      </c>
      <c r="I115" s="8">
        <f t="shared" si="1"/>
        <v>45323</v>
      </c>
    </row>
    <row r="116" spans="1:9" x14ac:dyDescent="0.25">
      <c r="A116" s="7" t="s">
        <v>195</v>
      </c>
      <c r="B116" s="4">
        <v>45327</v>
      </c>
      <c r="C116" s="3" t="s">
        <v>29</v>
      </c>
      <c r="D116" s="3" t="s">
        <v>17</v>
      </c>
      <c r="E116" s="3" t="s">
        <v>171</v>
      </c>
      <c r="F116" s="5">
        <v>1386.36</v>
      </c>
      <c r="G116" s="3" t="s">
        <v>24</v>
      </c>
      <c r="H116" s="3" t="s">
        <v>14</v>
      </c>
      <c r="I116" s="8">
        <f t="shared" si="1"/>
        <v>45323</v>
      </c>
    </row>
    <row r="117" spans="1:9" x14ac:dyDescent="0.25">
      <c r="A117" s="7" t="s">
        <v>196</v>
      </c>
      <c r="B117" s="4">
        <v>45327</v>
      </c>
      <c r="C117" s="3" t="s">
        <v>33</v>
      </c>
      <c r="D117" s="3" t="s">
        <v>17</v>
      </c>
      <c r="E117" s="3" t="s">
        <v>197</v>
      </c>
      <c r="F117" s="5">
        <v>1178.46</v>
      </c>
      <c r="G117" s="3" t="s">
        <v>24</v>
      </c>
      <c r="H117" s="3" t="s">
        <v>14</v>
      </c>
      <c r="I117" s="8">
        <f t="shared" si="1"/>
        <v>45323</v>
      </c>
    </row>
    <row r="118" spans="1:9" x14ac:dyDescent="0.25">
      <c r="A118" s="7" t="s">
        <v>198</v>
      </c>
      <c r="B118" s="4">
        <v>45327</v>
      </c>
      <c r="C118" s="3" t="s">
        <v>39</v>
      </c>
      <c r="D118" s="3" t="s">
        <v>114</v>
      </c>
      <c r="E118" s="3" t="s">
        <v>199</v>
      </c>
      <c r="F118" s="5">
        <v>219.76</v>
      </c>
      <c r="G118" s="3" t="s">
        <v>19</v>
      </c>
      <c r="H118" s="3" t="s">
        <v>14</v>
      </c>
      <c r="I118" s="8">
        <f t="shared" si="1"/>
        <v>45323</v>
      </c>
    </row>
    <row r="119" spans="1:9" x14ac:dyDescent="0.25">
      <c r="A119" s="7" t="s">
        <v>200</v>
      </c>
      <c r="B119" s="4">
        <v>45328</v>
      </c>
      <c r="C119" s="3" t="s">
        <v>22</v>
      </c>
      <c r="D119" s="3" t="s">
        <v>22</v>
      </c>
      <c r="E119" s="3" t="s">
        <v>175</v>
      </c>
      <c r="F119" s="5">
        <v>1852.13</v>
      </c>
      <c r="G119" s="3" t="s">
        <v>27</v>
      </c>
      <c r="H119" s="3" t="s">
        <v>14</v>
      </c>
      <c r="I119" s="8">
        <f t="shared" si="1"/>
        <v>45323</v>
      </c>
    </row>
    <row r="120" spans="1:9" x14ac:dyDescent="0.25">
      <c r="A120" s="7" t="s">
        <v>201</v>
      </c>
      <c r="B120" s="4">
        <v>45328</v>
      </c>
      <c r="C120" s="3" t="s">
        <v>39</v>
      </c>
      <c r="D120" s="3" t="s">
        <v>36</v>
      </c>
      <c r="E120" s="3" t="s">
        <v>88</v>
      </c>
      <c r="F120" s="5">
        <v>155.59</v>
      </c>
      <c r="G120" s="3" t="s">
        <v>19</v>
      </c>
      <c r="H120" s="3" t="s">
        <v>14</v>
      </c>
      <c r="I120" s="8">
        <f t="shared" si="1"/>
        <v>45323</v>
      </c>
    </row>
    <row r="121" spans="1:9" x14ac:dyDescent="0.25">
      <c r="A121" s="7" t="s">
        <v>202</v>
      </c>
      <c r="B121" s="4">
        <v>45328</v>
      </c>
      <c r="C121" s="3" t="s">
        <v>16</v>
      </c>
      <c r="D121" s="3" t="s">
        <v>46</v>
      </c>
      <c r="E121" s="3" t="s">
        <v>47</v>
      </c>
      <c r="F121" s="5">
        <v>314.44</v>
      </c>
      <c r="G121" s="3" t="s">
        <v>13</v>
      </c>
      <c r="H121" s="3" t="s">
        <v>14</v>
      </c>
      <c r="I121" s="8">
        <f t="shared" si="1"/>
        <v>45323</v>
      </c>
    </row>
    <row r="122" spans="1:9" x14ac:dyDescent="0.25">
      <c r="A122" s="7" t="s">
        <v>203</v>
      </c>
      <c r="B122" s="4">
        <v>45329</v>
      </c>
      <c r="C122" s="3" t="s">
        <v>16</v>
      </c>
      <c r="D122" s="3" t="s">
        <v>30</v>
      </c>
      <c r="E122" s="3" t="s">
        <v>34</v>
      </c>
      <c r="F122" s="5">
        <v>347.51</v>
      </c>
      <c r="G122" s="3" t="s">
        <v>19</v>
      </c>
      <c r="H122" s="3" t="s">
        <v>14</v>
      </c>
      <c r="I122" s="8">
        <f t="shared" si="1"/>
        <v>45323</v>
      </c>
    </row>
    <row r="123" spans="1:9" x14ac:dyDescent="0.25">
      <c r="A123" s="7" t="s">
        <v>204</v>
      </c>
      <c r="B123" s="4">
        <v>45329</v>
      </c>
      <c r="C123" s="3" t="s">
        <v>22</v>
      </c>
      <c r="D123" s="3" t="s">
        <v>55</v>
      </c>
      <c r="E123" s="3" t="s">
        <v>56</v>
      </c>
      <c r="F123" s="5">
        <v>1514.58</v>
      </c>
      <c r="G123" s="3" t="s">
        <v>19</v>
      </c>
      <c r="H123" s="3" t="s">
        <v>14</v>
      </c>
      <c r="I123" s="8">
        <f t="shared" si="1"/>
        <v>45323</v>
      </c>
    </row>
    <row r="124" spans="1:9" x14ac:dyDescent="0.25">
      <c r="A124" s="7" t="s">
        <v>205</v>
      </c>
      <c r="B124" s="4">
        <v>45330</v>
      </c>
      <c r="C124" s="3" t="s">
        <v>54</v>
      </c>
      <c r="D124" s="3" t="s">
        <v>30</v>
      </c>
      <c r="E124" s="3" t="s">
        <v>34</v>
      </c>
      <c r="F124" s="5">
        <v>216.5</v>
      </c>
      <c r="G124" s="3" t="s">
        <v>52</v>
      </c>
      <c r="H124" s="3" t="s">
        <v>20</v>
      </c>
      <c r="I124" s="8">
        <f t="shared" si="1"/>
        <v>45323</v>
      </c>
    </row>
    <row r="125" spans="1:9" x14ac:dyDescent="0.25">
      <c r="A125" s="7" t="s">
        <v>206</v>
      </c>
      <c r="B125" s="4">
        <v>45330</v>
      </c>
      <c r="C125" s="3" t="s">
        <v>54</v>
      </c>
      <c r="D125" s="3" t="s">
        <v>30</v>
      </c>
      <c r="E125" s="3" t="s">
        <v>169</v>
      </c>
      <c r="F125" s="5">
        <v>65.040000000000006</v>
      </c>
      <c r="G125" s="3" t="s">
        <v>24</v>
      </c>
      <c r="H125" s="3" t="s">
        <v>14</v>
      </c>
      <c r="I125" s="8">
        <f t="shared" si="1"/>
        <v>45323</v>
      </c>
    </row>
    <row r="126" spans="1:9" x14ac:dyDescent="0.25">
      <c r="A126" s="7" t="s">
        <v>207</v>
      </c>
      <c r="B126" s="4">
        <v>45330</v>
      </c>
      <c r="C126" s="3" t="s">
        <v>33</v>
      </c>
      <c r="D126" s="3" t="s">
        <v>46</v>
      </c>
      <c r="E126" s="3" t="s">
        <v>187</v>
      </c>
      <c r="F126" s="5">
        <v>280.42</v>
      </c>
      <c r="G126" s="3" t="s">
        <v>86</v>
      </c>
      <c r="H126" s="3" t="s">
        <v>20</v>
      </c>
      <c r="I126" s="8">
        <f t="shared" si="1"/>
        <v>45323</v>
      </c>
    </row>
    <row r="127" spans="1:9" x14ac:dyDescent="0.25">
      <c r="A127" s="7" t="s">
        <v>208</v>
      </c>
      <c r="B127" s="4">
        <v>45330</v>
      </c>
      <c r="C127" s="3" t="s">
        <v>49</v>
      </c>
      <c r="D127" s="3" t="s">
        <v>17</v>
      </c>
      <c r="E127" s="3" t="s">
        <v>197</v>
      </c>
      <c r="F127" s="5">
        <v>1093.81</v>
      </c>
      <c r="G127" s="3" t="s">
        <v>19</v>
      </c>
      <c r="H127" s="3" t="s">
        <v>14</v>
      </c>
      <c r="I127" s="8">
        <f t="shared" si="1"/>
        <v>45323</v>
      </c>
    </row>
    <row r="128" spans="1:9" x14ac:dyDescent="0.25">
      <c r="A128" s="7" t="s">
        <v>209</v>
      </c>
      <c r="B128" s="4">
        <v>45330</v>
      </c>
      <c r="C128" s="3" t="s">
        <v>49</v>
      </c>
      <c r="D128" s="3" t="s">
        <v>36</v>
      </c>
      <c r="E128" s="3" t="s">
        <v>88</v>
      </c>
      <c r="F128" s="5">
        <v>46.26</v>
      </c>
      <c r="G128" s="3" t="s">
        <v>19</v>
      </c>
      <c r="H128" s="3" t="s">
        <v>14</v>
      </c>
      <c r="I128" s="8">
        <f t="shared" si="1"/>
        <v>45323</v>
      </c>
    </row>
    <row r="129" spans="1:9" x14ac:dyDescent="0.25">
      <c r="A129" s="7" t="s">
        <v>210</v>
      </c>
      <c r="B129" s="4">
        <v>45331</v>
      </c>
      <c r="C129" s="3" t="s">
        <v>29</v>
      </c>
      <c r="D129" s="3" t="s">
        <v>43</v>
      </c>
      <c r="E129" s="3" t="s">
        <v>44</v>
      </c>
      <c r="F129" s="5">
        <v>85.76</v>
      </c>
      <c r="G129" s="3" t="s">
        <v>86</v>
      </c>
      <c r="H129" s="3" t="s">
        <v>20</v>
      </c>
      <c r="I129" s="8">
        <f t="shared" si="1"/>
        <v>45323</v>
      </c>
    </row>
    <row r="130" spans="1:9" x14ac:dyDescent="0.25">
      <c r="A130" s="7" t="s">
        <v>211</v>
      </c>
      <c r="B130" s="4">
        <v>45331</v>
      </c>
      <c r="C130" s="3" t="s">
        <v>49</v>
      </c>
      <c r="D130" s="3" t="s">
        <v>30</v>
      </c>
      <c r="E130" s="3" t="s">
        <v>34</v>
      </c>
      <c r="F130" s="5">
        <v>304.02999999999997</v>
      </c>
      <c r="G130" s="3" t="s">
        <v>24</v>
      </c>
      <c r="H130" s="3" t="s">
        <v>14</v>
      </c>
      <c r="I130" s="8">
        <f t="shared" si="1"/>
        <v>45323</v>
      </c>
    </row>
    <row r="131" spans="1:9" x14ac:dyDescent="0.25">
      <c r="A131" s="7" t="s">
        <v>212</v>
      </c>
      <c r="B131" s="4">
        <v>45331</v>
      </c>
      <c r="C131" s="3" t="s">
        <v>49</v>
      </c>
      <c r="D131" s="3" t="s">
        <v>50</v>
      </c>
      <c r="E131" s="3" t="s">
        <v>70</v>
      </c>
      <c r="F131" s="5">
        <v>15.72</v>
      </c>
      <c r="G131" s="3" t="s">
        <v>52</v>
      </c>
      <c r="H131" s="3" t="s">
        <v>14</v>
      </c>
      <c r="I131" s="8">
        <f t="shared" si="1"/>
        <v>45323</v>
      </c>
    </row>
    <row r="132" spans="1:9" x14ac:dyDescent="0.25">
      <c r="A132" s="7" t="s">
        <v>213</v>
      </c>
      <c r="B132" s="4">
        <v>45331</v>
      </c>
      <c r="C132" s="3" t="s">
        <v>29</v>
      </c>
      <c r="D132" s="3" t="s">
        <v>30</v>
      </c>
      <c r="E132" s="3" t="s">
        <v>214</v>
      </c>
      <c r="F132" s="5">
        <v>117.46</v>
      </c>
      <c r="G132" s="3" t="s">
        <v>19</v>
      </c>
      <c r="H132" s="3" t="s">
        <v>14</v>
      </c>
      <c r="I132" s="8">
        <f t="shared" si="1"/>
        <v>45323</v>
      </c>
    </row>
    <row r="133" spans="1:9" x14ac:dyDescent="0.25">
      <c r="A133" s="7" t="s">
        <v>215</v>
      </c>
      <c r="B133" s="4">
        <v>45331</v>
      </c>
      <c r="C133" s="3" t="s">
        <v>22</v>
      </c>
      <c r="D133" s="3" t="s">
        <v>82</v>
      </c>
      <c r="E133" s="3" t="s">
        <v>216</v>
      </c>
      <c r="F133" s="5">
        <v>2250.96</v>
      </c>
      <c r="G133" s="3" t="s">
        <v>13</v>
      </c>
      <c r="H133" s="3" t="s">
        <v>14</v>
      </c>
      <c r="I133" s="8">
        <f t="shared" ref="I133:I196" si="2">DATE(YEAR(B133),MONTH(B133),1)</f>
        <v>45323</v>
      </c>
    </row>
    <row r="134" spans="1:9" x14ac:dyDescent="0.25">
      <c r="A134" s="7" t="s">
        <v>217</v>
      </c>
      <c r="B134" s="4">
        <v>45331</v>
      </c>
      <c r="C134" s="3" t="s">
        <v>49</v>
      </c>
      <c r="D134" s="3" t="s">
        <v>36</v>
      </c>
      <c r="E134" s="3" t="s">
        <v>88</v>
      </c>
      <c r="F134" s="5">
        <v>11.98</v>
      </c>
      <c r="G134" s="3" t="s">
        <v>27</v>
      </c>
      <c r="H134" s="3" t="s">
        <v>14</v>
      </c>
      <c r="I134" s="8">
        <f t="shared" si="2"/>
        <v>45323</v>
      </c>
    </row>
    <row r="135" spans="1:9" x14ac:dyDescent="0.25">
      <c r="A135" s="7" t="s">
        <v>218</v>
      </c>
      <c r="B135" s="4">
        <v>45331</v>
      </c>
      <c r="C135" s="3" t="s">
        <v>22</v>
      </c>
      <c r="D135" s="3" t="s">
        <v>36</v>
      </c>
      <c r="E135" s="3" t="s">
        <v>37</v>
      </c>
      <c r="F135" s="5">
        <v>222.24</v>
      </c>
      <c r="G135" s="3" t="s">
        <v>27</v>
      </c>
      <c r="H135" s="3" t="s">
        <v>14</v>
      </c>
      <c r="I135" s="8">
        <f t="shared" si="2"/>
        <v>45323</v>
      </c>
    </row>
    <row r="136" spans="1:9" x14ac:dyDescent="0.25">
      <c r="A136" s="7" t="s">
        <v>219</v>
      </c>
      <c r="B136" s="4">
        <v>45332</v>
      </c>
      <c r="C136" s="3" t="s">
        <v>10</v>
      </c>
      <c r="D136" s="3" t="s">
        <v>40</v>
      </c>
      <c r="E136" s="3" t="s">
        <v>138</v>
      </c>
      <c r="F136" s="5">
        <v>51.22</v>
      </c>
      <c r="G136" s="3" t="s">
        <v>27</v>
      </c>
      <c r="H136" s="3" t="s">
        <v>20</v>
      </c>
      <c r="I136" s="8">
        <f t="shared" si="2"/>
        <v>45323</v>
      </c>
    </row>
    <row r="137" spans="1:9" x14ac:dyDescent="0.25">
      <c r="A137" s="7" t="s">
        <v>220</v>
      </c>
      <c r="B137" s="4">
        <v>45332</v>
      </c>
      <c r="C137" s="3" t="s">
        <v>22</v>
      </c>
      <c r="D137" s="3" t="s">
        <v>43</v>
      </c>
      <c r="E137" s="3" t="s">
        <v>78</v>
      </c>
      <c r="F137" s="5">
        <v>393.87</v>
      </c>
      <c r="G137" s="3" t="s">
        <v>13</v>
      </c>
      <c r="H137" s="3" t="s">
        <v>20</v>
      </c>
      <c r="I137" s="8">
        <f t="shared" si="2"/>
        <v>45323</v>
      </c>
    </row>
    <row r="138" spans="1:9" x14ac:dyDescent="0.25">
      <c r="A138" s="7" t="s">
        <v>221</v>
      </c>
      <c r="B138" s="4">
        <v>45332</v>
      </c>
      <c r="C138" s="3" t="s">
        <v>49</v>
      </c>
      <c r="D138" s="3" t="s">
        <v>30</v>
      </c>
      <c r="E138" s="3" t="s">
        <v>214</v>
      </c>
      <c r="F138" s="5">
        <v>168.34</v>
      </c>
      <c r="G138" s="3" t="s">
        <v>52</v>
      </c>
      <c r="H138" s="3" t="s">
        <v>14</v>
      </c>
      <c r="I138" s="8">
        <f t="shared" si="2"/>
        <v>45323</v>
      </c>
    </row>
    <row r="139" spans="1:9" x14ac:dyDescent="0.25">
      <c r="A139" s="7" t="s">
        <v>222</v>
      </c>
      <c r="B139" s="4">
        <v>45332</v>
      </c>
      <c r="C139" s="3" t="s">
        <v>16</v>
      </c>
      <c r="D139" s="3" t="s">
        <v>30</v>
      </c>
      <c r="E139" s="3" t="s">
        <v>169</v>
      </c>
      <c r="F139" s="5">
        <v>236.32</v>
      </c>
      <c r="G139" s="3" t="s">
        <v>52</v>
      </c>
      <c r="H139" s="3" t="s">
        <v>14</v>
      </c>
      <c r="I139" s="8">
        <f t="shared" si="2"/>
        <v>45323</v>
      </c>
    </row>
    <row r="140" spans="1:9" x14ac:dyDescent="0.25">
      <c r="A140" s="7" t="s">
        <v>223</v>
      </c>
      <c r="B140" s="4">
        <v>45333</v>
      </c>
      <c r="C140" s="3" t="s">
        <v>22</v>
      </c>
      <c r="D140" s="3" t="s">
        <v>43</v>
      </c>
      <c r="E140" s="3" t="s">
        <v>78</v>
      </c>
      <c r="F140" s="5">
        <v>295.13</v>
      </c>
      <c r="G140" s="3" t="s">
        <v>13</v>
      </c>
      <c r="H140" s="3" t="s">
        <v>14</v>
      </c>
      <c r="I140" s="8">
        <f t="shared" si="2"/>
        <v>45323</v>
      </c>
    </row>
    <row r="141" spans="1:9" x14ac:dyDescent="0.25">
      <c r="A141" s="7" t="s">
        <v>224</v>
      </c>
      <c r="B141" s="4">
        <v>45333</v>
      </c>
      <c r="C141" s="3" t="s">
        <v>16</v>
      </c>
      <c r="D141" s="3" t="s">
        <v>50</v>
      </c>
      <c r="E141" s="3" t="s">
        <v>70</v>
      </c>
      <c r="F141" s="5">
        <v>76.760000000000005</v>
      </c>
      <c r="G141" s="3" t="s">
        <v>52</v>
      </c>
      <c r="H141" s="3" t="s">
        <v>14</v>
      </c>
      <c r="I141" s="8">
        <f t="shared" si="2"/>
        <v>45323</v>
      </c>
    </row>
    <row r="142" spans="1:9" x14ac:dyDescent="0.25">
      <c r="A142" s="7" t="s">
        <v>225</v>
      </c>
      <c r="B142" s="4">
        <v>45333</v>
      </c>
      <c r="C142" s="3" t="s">
        <v>29</v>
      </c>
      <c r="D142" s="3" t="s">
        <v>55</v>
      </c>
      <c r="E142" s="3" t="s">
        <v>95</v>
      </c>
      <c r="F142" s="5">
        <v>462.57</v>
      </c>
      <c r="G142" s="3" t="s">
        <v>27</v>
      </c>
      <c r="H142" s="3" t="s">
        <v>14</v>
      </c>
      <c r="I142" s="8">
        <f t="shared" si="2"/>
        <v>45323</v>
      </c>
    </row>
    <row r="143" spans="1:9" x14ac:dyDescent="0.25">
      <c r="A143" s="7" t="s">
        <v>226</v>
      </c>
      <c r="B143" s="4">
        <v>45334</v>
      </c>
      <c r="C143" s="3" t="s">
        <v>33</v>
      </c>
      <c r="D143" s="3" t="s">
        <v>82</v>
      </c>
      <c r="E143" s="3" t="s">
        <v>227</v>
      </c>
      <c r="F143" s="5">
        <v>2452.9899999999998</v>
      </c>
      <c r="G143" s="3" t="s">
        <v>13</v>
      </c>
      <c r="H143" s="3" t="s">
        <v>14</v>
      </c>
      <c r="I143" s="8">
        <f t="shared" si="2"/>
        <v>45323</v>
      </c>
    </row>
    <row r="144" spans="1:9" x14ac:dyDescent="0.25">
      <c r="A144" s="7" t="s">
        <v>228</v>
      </c>
      <c r="B144" s="4">
        <v>45334</v>
      </c>
      <c r="C144" s="3" t="s">
        <v>16</v>
      </c>
      <c r="D144" s="3" t="s">
        <v>22</v>
      </c>
      <c r="E144" s="3" t="s">
        <v>97</v>
      </c>
      <c r="F144" s="5">
        <v>449.72</v>
      </c>
      <c r="G144" s="3" t="s">
        <v>27</v>
      </c>
      <c r="H144" s="3" t="s">
        <v>14</v>
      </c>
      <c r="I144" s="8">
        <f t="shared" si="2"/>
        <v>45323</v>
      </c>
    </row>
    <row r="145" spans="1:9" x14ac:dyDescent="0.25">
      <c r="A145" s="7" t="s">
        <v>229</v>
      </c>
      <c r="B145" s="4">
        <v>45335</v>
      </c>
      <c r="C145" s="3" t="s">
        <v>16</v>
      </c>
      <c r="D145" s="3" t="s">
        <v>46</v>
      </c>
      <c r="E145" s="3" t="s">
        <v>187</v>
      </c>
      <c r="F145" s="5">
        <v>166.08</v>
      </c>
      <c r="G145" s="3" t="s">
        <v>86</v>
      </c>
      <c r="H145" s="3" t="s">
        <v>14</v>
      </c>
      <c r="I145" s="8">
        <f t="shared" si="2"/>
        <v>45323</v>
      </c>
    </row>
    <row r="146" spans="1:9" x14ac:dyDescent="0.25">
      <c r="A146" s="7" t="s">
        <v>230</v>
      </c>
      <c r="B146" s="4">
        <v>45335</v>
      </c>
      <c r="C146" s="3" t="s">
        <v>33</v>
      </c>
      <c r="D146" s="3" t="s">
        <v>17</v>
      </c>
      <c r="E146" s="3" t="s">
        <v>154</v>
      </c>
      <c r="F146" s="5">
        <v>1259.27</v>
      </c>
      <c r="G146" s="3" t="s">
        <v>24</v>
      </c>
      <c r="H146" s="3" t="s">
        <v>14</v>
      </c>
      <c r="I146" s="8">
        <f t="shared" si="2"/>
        <v>45323</v>
      </c>
    </row>
    <row r="147" spans="1:9" x14ac:dyDescent="0.25">
      <c r="A147" s="7" t="s">
        <v>231</v>
      </c>
      <c r="B147" s="4">
        <v>45335</v>
      </c>
      <c r="C147" s="3" t="s">
        <v>49</v>
      </c>
      <c r="D147" s="3" t="s">
        <v>36</v>
      </c>
      <c r="E147" s="3" t="s">
        <v>150</v>
      </c>
      <c r="F147" s="5">
        <v>13.24</v>
      </c>
      <c r="G147" s="3" t="s">
        <v>27</v>
      </c>
      <c r="H147" s="3" t="s">
        <v>20</v>
      </c>
      <c r="I147" s="8">
        <f t="shared" si="2"/>
        <v>45323</v>
      </c>
    </row>
    <row r="148" spans="1:9" x14ac:dyDescent="0.25">
      <c r="A148" s="7" t="s">
        <v>232</v>
      </c>
      <c r="B148" s="4">
        <v>45335</v>
      </c>
      <c r="C148" s="3" t="s">
        <v>10</v>
      </c>
      <c r="D148" s="3" t="s">
        <v>40</v>
      </c>
      <c r="E148" s="3" t="s">
        <v>182</v>
      </c>
      <c r="F148" s="5">
        <v>735.45</v>
      </c>
      <c r="G148" s="3" t="s">
        <v>27</v>
      </c>
      <c r="H148" s="3" t="s">
        <v>14</v>
      </c>
      <c r="I148" s="8">
        <f t="shared" si="2"/>
        <v>45323</v>
      </c>
    </row>
    <row r="149" spans="1:9" x14ac:dyDescent="0.25">
      <c r="A149" s="7" t="s">
        <v>233</v>
      </c>
      <c r="B149" s="4">
        <v>45336</v>
      </c>
      <c r="C149" s="3" t="s">
        <v>29</v>
      </c>
      <c r="D149" s="3" t="s">
        <v>46</v>
      </c>
      <c r="E149" s="3" t="s">
        <v>234</v>
      </c>
      <c r="F149" s="5">
        <v>563.64</v>
      </c>
      <c r="G149" s="3" t="s">
        <v>86</v>
      </c>
      <c r="H149" s="3" t="s">
        <v>20</v>
      </c>
      <c r="I149" s="8">
        <f t="shared" si="2"/>
        <v>45323</v>
      </c>
    </row>
    <row r="150" spans="1:9" x14ac:dyDescent="0.25">
      <c r="A150" s="7" t="s">
        <v>235</v>
      </c>
      <c r="B150" s="4">
        <v>45336</v>
      </c>
      <c r="C150" s="3" t="s">
        <v>49</v>
      </c>
      <c r="D150" s="3" t="s">
        <v>17</v>
      </c>
      <c r="E150" s="3" t="s">
        <v>23</v>
      </c>
      <c r="F150" s="5">
        <v>690.62</v>
      </c>
      <c r="G150" s="3" t="s">
        <v>24</v>
      </c>
      <c r="H150" s="3" t="s">
        <v>14</v>
      </c>
      <c r="I150" s="8">
        <f t="shared" si="2"/>
        <v>45323</v>
      </c>
    </row>
    <row r="151" spans="1:9" x14ac:dyDescent="0.25">
      <c r="A151" s="7" t="s">
        <v>236</v>
      </c>
      <c r="B151" s="4">
        <v>45337</v>
      </c>
      <c r="C151" s="3" t="s">
        <v>54</v>
      </c>
      <c r="D151" s="3" t="s">
        <v>36</v>
      </c>
      <c r="E151" s="3" t="s">
        <v>150</v>
      </c>
      <c r="F151" s="5">
        <v>205.88</v>
      </c>
      <c r="G151" s="3" t="s">
        <v>27</v>
      </c>
      <c r="H151" s="3" t="s">
        <v>14</v>
      </c>
      <c r="I151" s="8">
        <f t="shared" si="2"/>
        <v>45323</v>
      </c>
    </row>
    <row r="152" spans="1:9" x14ac:dyDescent="0.25">
      <c r="A152" s="7" t="s">
        <v>237</v>
      </c>
      <c r="B152" s="4">
        <v>45337</v>
      </c>
      <c r="C152" s="3" t="s">
        <v>39</v>
      </c>
      <c r="D152" s="3" t="s">
        <v>36</v>
      </c>
      <c r="E152" s="3" t="s">
        <v>238</v>
      </c>
      <c r="F152" s="5">
        <v>203.06</v>
      </c>
      <c r="G152" s="3" t="s">
        <v>19</v>
      </c>
      <c r="H152" s="3" t="s">
        <v>20</v>
      </c>
      <c r="I152" s="8">
        <f t="shared" si="2"/>
        <v>45323</v>
      </c>
    </row>
    <row r="153" spans="1:9" x14ac:dyDescent="0.25">
      <c r="A153" s="7" t="s">
        <v>239</v>
      </c>
      <c r="B153" s="4">
        <v>45338</v>
      </c>
      <c r="C153" s="3" t="s">
        <v>10</v>
      </c>
      <c r="D153" s="3" t="s">
        <v>40</v>
      </c>
      <c r="E153" s="3" t="s">
        <v>138</v>
      </c>
      <c r="F153" s="5">
        <v>21.15</v>
      </c>
      <c r="G153" s="3" t="s">
        <v>19</v>
      </c>
      <c r="H153" s="3" t="s">
        <v>14</v>
      </c>
      <c r="I153" s="8">
        <f t="shared" si="2"/>
        <v>45323</v>
      </c>
    </row>
    <row r="154" spans="1:9" x14ac:dyDescent="0.25">
      <c r="A154" s="7" t="s">
        <v>240</v>
      </c>
      <c r="B154" s="4">
        <v>45338</v>
      </c>
      <c r="C154" s="3" t="s">
        <v>29</v>
      </c>
      <c r="D154" s="3" t="s">
        <v>22</v>
      </c>
      <c r="E154" s="3" t="s">
        <v>97</v>
      </c>
      <c r="F154" s="5">
        <v>2381.1999999999998</v>
      </c>
      <c r="G154" s="3" t="s">
        <v>27</v>
      </c>
      <c r="H154" s="3" t="s">
        <v>20</v>
      </c>
      <c r="I154" s="8">
        <f t="shared" si="2"/>
        <v>45323</v>
      </c>
    </row>
    <row r="155" spans="1:9" x14ac:dyDescent="0.25">
      <c r="A155" s="7" t="s">
        <v>241</v>
      </c>
      <c r="B155" s="4">
        <v>45338</v>
      </c>
      <c r="C155" s="3" t="s">
        <v>29</v>
      </c>
      <c r="D155" s="3" t="s">
        <v>36</v>
      </c>
      <c r="E155" s="3" t="s">
        <v>150</v>
      </c>
      <c r="F155" s="5">
        <v>55.05</v>
      </c>
      <c r="G155" s="3" t="s">
        <v>27</v>
      </c>
      <c r="H155" s="3" t="s">
        <v>14</v>
      </c>
      <c r="I155" s="8">
        <f t="shared" si="2"/>
        <v>45323</v>
      </c>
    </row>
    <row r="156" spans="1:9" x14ac:dyDescent="0.25">
      <c r="A156" s="7" t="s">
        <v>242</v>
      </c>
      <c r="B156" s="4">
        <v>45338</v>
      </c>
      <c r="C156" s="3" t="s">
        <v>39</v>
      </c>
      <c r="D156" s="3" t="s">
        <v>114</v>
      </c>
      <c r="E156" s="3" t="s">
        <v>157</v>
      </c>
      <c r="F156" s="5">
        <v>892.74</v>
      </c>
      <c r="G156" s="3" t="s">
        <v>24</v>
      </c>
      <c r="H156" s="3" t="s">
        <v>14</v>
      </c>
      <c r="I156" s="8">
        <f t="shared" si="2"/>
        <v>45323</v>
      </c>
    </row>
    <row r="157" spans="1:9" x14ac:dyDescent="0.25">
      <c r="A157" s="7" t="s">
        <v>243</v>
      </c>
      <c r="B157" s="4">
        <v>45338</v>
      </c>
      <c r="C157" s="3" t="s">
        <v>49</v>
      </c>
      <c r="D157" s="3" t="s">
        <v>22</v>
      </c>
      <c r="E157" s="3" t="s">
        <v>244</v>
      </c>
      <c r="F157" s="5">
        <v>1631.49</v>
      </c>
      <c r="G157" s="3" t="s">
        <v>19</v>
      </c>
      <c r="H157" s="3" t="s">
        <v>20</v>
      </c>
      <c r="I157" s="8">
        <f t="shared" si="2"/>
        <v>45323</v>
      </c>
    </row>
    <row r="158" spans="1:9" x14ac:dyDescent="0.25">
      <c r="A158" s="7" t="s">
        <v>245</v>
      </c>
      <c r="B158" s="4">
        <v>45338</v>
      </c>
      <c r="C158" s="3" t="s">
        <v>22</v>
      </c>
      <c r="D158" s="3" t="s">
        <v>22</v>
      </c>
      <c r="E158" s="3" t="s">
        <v>26</v>
      </c>
      <c r="F158" s="5">
        <v>2376.7399999999998</v>
      </c>
      <c r="G158" s="3" t="s">
        <v>27</v>
      </c>
      <c r="H158" s="3" t="s">
        <v>14</v>
      </c>
      <c r="I158" s="8">
        <f t="shared" si="2"/>
        <v>45323</v>
      </c>
    </row>
    <row r="159" spans="1:9" x14ac:dyDescent="0.25">
      <c r="A159" s="7" t="s">
        <v>246</v>
      </c>
      <c r="B159" s="4">
        <v>45338</v>
      </c>
      <c r="C159" s="3" t="s">
        <v>49</v>
      </c>
      <c r="D159" s="3" t="s">
        <v>40</v>
      </c>
      <c r="E159" s="3" t="s">
        <v>58</v>
      </c>
      <c r="F159" s="5">
        <v>236.59</v>
      </c>
      <c r="G159" s="3" t="s">
        <v>27</v>
      </c>
      <c r="H159" s="3" t="s">
        <v>20</v>
      </c>
      <c r="I159" s="8">
        <f t="shared" si="2"/>
        <v>45323</v>
      </c>
    </row>
    <row r="160" spans="1:9" x14ac:dyDescent="0.25">
      <c r="A160" s="7" t="s">
        <v>247</v>
      </c>
      <c r="B160" s="4">
        <v>45339</v>
      </c>
      <c r="C160" s="3" t="s">
        <v>29</v>
      </c>
      <c r="D160" s="3" t="s">
        <v>46</v>
      </c>
      <c r="E160" s="3" t="s">
        <v>234</v>
      </c>
      <c r="F160" s="5">
        <v>463.1</v>
      </c>
      <c r="G160" s="3" t="s">
        <v>13</v>
      </c>
      <c r="H160" s="3" t="s">
        <v>14</v>
      </c>
      <c r="I160" s="8">
        <f t="shared" si="2"/>
        <v>45323</v>
      </c>
    </row>
    <row r="161" spans="1:9" x14ac:dyDescent="0.25">
      <c r="A161" s="7" t="s">
        <v>248</v>
      </c>
      <c r="B161" s="4">
        <v>45339</v>
      </c>
      <c r="C161" s="3" t="s">
        <v>33</v>
      </c>
      <c r="D161" s="3" t="s">
        <v>17</v>
      </c>
      <c r="E161" s="3" t="s">
        <v>23</v>
      </c>
      <c r="F161" s="5">
        <v>128.80000000000001</v>
      </c>
      <c r="G161" s="3" t="s">
        <v>19</v>
      </c>
      <c r="H161" s="3" t="s">
        <v>14</v>
      </c>
      <c r="I161" s="8">
        <f t="shared" si="2"/>
        <v>45323</v>
      </c>
    </row>
    <row r="162" spans="1:9" x14ac:dyDescent="0.25">
      <c r="A162" s="7" t="s">
        <v>249</v>
      </c>
      <c r="B162" s="4">
        <v>45339</v>
      </c>
      <c r="C162" s="3" t="s">
        <v>33</v>
      </c>
      <c r="D162" s="3" t="s">
        <v>114</v>
      </c>
      <c r="E162" s="3" t="s">
        <v>199</v>
      </c>
      <c r="F162" s="5">
        <v>680.11</v>
      </c>
      <c r="G162" s="3" t="s">
        <v>24</v>
      </c>
      <c r="H162" s="3" t="s">
        <v>14</v>
      </c>
      <c r="I162" s="8">
        <f t="shared" si="2"/>
        <v>45323</v>
      </c>
    </row>
    <row r="163" spans="1:9" x14ac:dyDescent="0.25">
      <c r="A163" s="7" t="s">
        <v>250</v>
      </c>
      <c r="B163" s="4">
        <v>45340</v>
      </c>
      <c r="C163" s="3" t="s">
        <v>49</v>
      </c>
      <c r="D163" s="3" t="s">
        <v>46</v>
      </c>
      <c r="E163" s="3" t="s">
        <v>234</v>
      </c>
      <c r="F163" s="5">
        <v>543.36</v>
      </c>
      <c r="G163" s="3" t="s">
        <v>86</v>
      </c>
      <c r="H163" s="3" t="s">
        <v>14</v>
      </c>
      <c r="I163" s="8">
        <f t="shared" si="2"/>
        <v>45323</v>
      </c>
    </row>
    <row r="164" spans="1:9" x14ac:dyDescent="0.25">
      <c r="A164" s="7" t="s">
        <v>251</v>
      </c>
      <c r="B164" s="4">
        <v>45340</v>
      </c>
      <c r="C164" s="3" t="s">
        <v>29</v>
      </c>
      <c r="D164" s="3" t="s">
        <v>46</v>
      </c>
      <c r="E164" s="3" t="s">
        <v>234</v>
      </c>
      <c r="F164" s="5">
        <v>567.33000000000004</v>
      </c>
      <c r="G164" s="3" t="s">
        <v>86</v>
      </c>
      <c r="H164" s="3" t="s">
        <v>14</v>
      </c>
      <c r="I164" s="8">
        <f t="shared" si="2"/>
        <v>45323</v>
      </c>
    </row>
    <row r="165" spans="1:9" x14ac:dyDescent="0.25">
      <c r="A165" s="7" t="s">
        <v>252</v>
      </c>
      <c r="B165" s="4">
        <v>45340</v>
      </c>
      <c r="C165" s="3" t="s">
        <v>16</v>
      </c>
      <c r="D165" s="3" t="s">
        <v>50</v>
      </c>
      <c r="E165" s="3" t="s">
        <v>62</v>
      </c>
      <c r="F165" s="5">
        <v>126.67</v>
      </c>
      <c r="G165" s="3" t="s">
        <v>24</v>
      </c>
      <c r="H165" s="3" t="s">
        <v>14</v>
      </c>
      <c r="I165" s="8">
        <f t="shared" si="2"/>
        <v>45323</v>
      </c>
    </row>
    <row r="166" spans="1:9" x14ac:dyDescent="0.25">
      <c r="A166" s="7" t="s">
        <v>253</v>
      </c>
      <c r="B166" s="4">
        <v>45340</v>
      </c>
      <c r="C166" s="3" t="s">
        <v>16</v>
      </c>
      <c r="D166" s="3" t="s">
        <v>50</v>
      </c>
      <c r="E166" s="3" t="s">
        <v>62</v>
      </c>
      <c r="F166" s="5">
        <v>96</v>
      </c>
      <c r="G166" s="3" t="s">
        <v>24</v>
      </c>
      <c r="H166" s="3" t="s">
        <v>20</v>
      </c>
      <c r="I166" s="8">
        <f t="shared" si="2"/>
        <v>45323</v>
      </c>
    </row>
    <row r="167" spans="1:9" x14ac:dyDescent="0.25">
      <c r="A167" s="7" t="s">
        <v>254</v>
      </c>
      <c r="B167" s="4">
        <v>45340</v>
      </c>
      <c r="C167" s="3" t="s">
        <v>39</v>
      </c>
      <c r="D167" s="3" t="s">
        <v>22</v>
      </c>
      <c r="E167" s="3" t="s">
        <v>93</v>
      </c>
      <c r="F167" s="5">
        <v>1849.62</v>
      </c>
      <c r="G167" s="3" t="s">
        <v>27</v>
      </c>
      <c r="H167" s="3" t="s">
        <v>20</v>
      </c>
      <c r="I167" s="8">
        <f t="shared" si="2"/>
        <v>45323</v>
      </c>
    </row>
    <row r="168" spans="1:9" x14ac:dyDescent="0.25">
      <c r="A168" s="7" t="s">
        <v>255</v>
      </c>
      <c r="B168" s="4">
        <v>45340</v>
      </c>
      <c r="C168" s="3" t="s">
        <v>29</v>
      </c>
      <c r="D168" s="3" t="s">
        <v>43</v>
      </c>
      <c r="E168" s="3" t="s">
        <v>85</v>
      </c>
      <c r="F168" s="5">
        <v>193.02</v>
      </c>
      <c r="G168" s="3" t="s">
        <v>13</v>
      </c>
      <c r="H168" s="3" t="s">
        <v>20</v>
      </c>
      <c r="I168" s="8">
        <f t="shared" si="2"/>
        <v>45323</v>
      </c>
    </row>
    <row r="169" spans="1:9" x14ac:dyDescent="0.25">
      <c r="A169" s="7" t="s">
        <v>256</v>
      </c>
      <c r="B169" s="4">
        <v>45340</v>
      </c>
      <c r="C169" s="3" t="s">
        <v>49</v>
      </c>
      <c r="D169" s="3" t="s">
        <v>36</v>
      </c>
      <c r="E169" s="3" t="s">
        <v>238</v>
      </c>
      <c r="F169" s="5">
        <v>67.8</v>
      </c>
      <c r="G169" s="3" t="s">
        <v>27</v>
      </c>
      <c r="H169" s="3" t="s">
        <v>20</v>
      </c>
      <c r="I169" s="8">
        <f t="shared" si="2"/>
        <v>45323</v>
      </c>
    </row>
    <row r="170" spans="1:9" x14ac:dyDescent="0.25">
      <c r="A170" s="7" t="s">
        <v>257</v>
      </c>
      <c r="B170" s="4">
        <v>45340</v>
      </c>
      <c r="C170" s="3" t="s">
        <v>16</v>
      </c>
      <c r="D170" s="3" t="s">
        <v>30</v>
      </c>
      <c r="E170" s="3" t="s">
        <v>31</v>
      </c>
      <c r="F170" s="5">
        <v>269.76</v>
      </c>
      <c r="G170" s="3" t="s">
        <v>24</v>
      </c>
      <c r="H170" s="3" t="s">
        <v>14</v>
      </c>
      <c r="I170" s="8">
        <f t="shared" si="2"/>
        <v>45323</v>
      </c>
    </row>
    <row r="171" spans="1:9" x14ac:dyDescent="0.25">
      <c r="A171" s="7" t="s">
        <v>258</v>
      </c>
      <c r="B171" s="4">
        <v>45341</v>
      </c>
      <c r="C171" s="3" t="s">
        <v>16</v>
      </c>
      <c r="D171" s="3" t="s">
        <v>46</v>
      </c>
      <c r="E171" s="3" t="s">
        <v>47</v>
      </c>
      <c r="F171" s="5">
        <v>446.15</v>
      </c>
      <c r="G171" s="3" t="s">
        <v>86</v>
      </c>
      <c r="H171" s="3" t="s">
        <v>14</v>
      </c>
      <c r="I171" s="8">
        <f t="shared" si="2"/>
        <v>45323</v>
      </c>
    </row>
    <row r="172" spans="1:9" x14ac:dyDescent="0.25">
      <c r="A172" s="7" t="s">
        <v>259</v>
      </c>
      <c r="B172" s="4">
        <v>45342</v>
      </c>
      <c r="C172" s="3" t="s">
        <v>54</v>
      </c>
      <c r="D172" s="3" t="s">
        <v>50</v>
      </c>
      <c r="E172" s="3" t="s">
        <v>51</v>
      </c>
      <c r="F172" s="5">
        <v>69.430000000000007</v>
      </c>
      <c r="G172" s="3" t="s">
        <v>24</v>
      </c>
      <c r="H172" s="3" t="s">
        <v>14</v>
      </c>
      <c r="I172" s="8">
        <f t="shared" si="2"/>
        <v>45323</v>
      </c>
    </row>
    <row r="173" spans="1:9" x14ac:dyDescent="0.25">
      <c r="A173" s="7" t="s">
        <v>260</v>
      </c>
      <c r="B173" s="4">
        <v>45343</v>
      </c>
      <c r="C173" s="3" t="s">
        <v>16</v>
      </c>
      <c r="D173" s="3" t="s">
        <v>30</v>
      </c>
      <c r="E173" s="3" t="s">
        <v>34</v>
      </c>
      <c r="F173" s="5">
        <v>172.56</v>
      </c>
      <c r="G173" s="3" t="s">
        <v>24</v>
      </c>
      <c r="H173" s="3" t="s">
        <v>14</v>
      </c>
      <c r="I173" s="8">
        <f t="shared" si="2"/>
        <v>45323</v>
      </c>
    </row>
    <row r="174" spans="1:9" x14ac:dyDescent="0.25">
      <c r="A174" s="7" t="s">
        <v>261</v>
      </c>
      <c r="B174" s="4">
        <v>45343</v>
      </c>
      <c r="C174" s="3" t="s">
        <v>49</v>
      </c>
      <c r="D174" s="3" t="s">
        <v>50</v>
      </c>
      <c r="E174" s="3" t="s">
        <v>62</v>
      </c>
      <c r="F174" s="5">
        <v>24.35</v>
      </c>
      <c r="G174" s="3" t="s">
        <v>24</v>
      </c>
      <c r="H174" s="3" t="s">
        <v>20</v>
      </c>
      <c r="I174" s="8">
        <f t="shared" si="2"/>
        <v>45323</v>
      </c>
    </row>
    <row r="175" spans="1:9" x14ac:dyDescent="0.25">
      <c r="A175" s="7" t="s">
        <v>262</v>
      </c>
      <c r="B175" s="4">
        <v>45343</v>
      </c>
      <c r="C175" s="3" t="s">
        <v>16</v>
      </c>
      <c r="D175" s="3" t="s">
        <v>114</v>
      </c>
      <c r="E175" s="3" t="s">
        <v>117</v>
      </c>
      <c r="F175" s="5">
        <v>363.99</v>
      </c>
      <c r="G175" s="3" t="s">
        <v>19</v>
      </c>
      <c r="H175" s="3" t="s">
        <v>14</v>
      </c>
      <c r="I175" s="8">
        <f t="shared" si="2"/>
        <v>45323</v>
      </c>
    </row>
    <row r="176" spans="1:9" x14ac:dyDescent="0.25">
      <c r="A176" s="7" t="s">
        <v>263</v>
      </c>
      <c r="B176" s="4">
        <v>45343</v>
      </c>
      <c r="C176" s="3" t="s">
        <v>16</v>
      </c>
      <c r="D176" s="3" t="s">
        <v>17</v>
      </c>
      <c r="E176" s="3" t="s">
        <v>154</v>
      </c>
      <c r="F176" s="5">
        <v>212.99</v>
      </c>
      <c r="G176" s="3" t="s">
        <v>24</v>
      </c>
      <c r="H176" s="3" t="s">
        <v>14</v>
      </c>
      <c r="I176" s="8">
        <f t="shared" si="2"/>
        <v>45323</v>
      </c>
    </row>
    <row r="177" spans="1:9" x14ac:dyDescent="0.25">
      <c r="A177" s="7" t="s">
        <v>264</v>
      </c>
      <c r="B177" s="4">
        <v>45343</v>
      </c>
      <c r="C177" s="3" t="s">
        <v>29</v>
      </c>
      <c r="D177" s="3" t="s">
        <v>50</v>
      </c>
      <c r="E177" s="3" t="s">
        <v>166</v>
      </c>
      <c r="F177" s="5">
        <v>35.78</v>
      </c>
      <c r="G177" s="3" t="s">
        <v>52</v>
      </c>
      <c r="H177" s="3" t="s">
        <v>20</v>
      </c>
      <c r="I177" s="8">
        <f t="shared" si="2"/>
        <v>45323</v>
      </c>
    </row>
    <row r="178" spans="1:9" x14ac:dyDescent="0.25">
      <c r="A178" s="7" t="s">
        <v>265</v>
      </c>
      <c r="B178" s="4">
        <v>45344</v>
      </c>
      <c r="C178" s="3" t="s">
        <v>16</v>
      </c>
      <c r="D178" s="3" t="s">
        <v>43</v>
      </c>
      <c r="E178" s="3" t="s">
        <v>44</v>
      </c>
      <c r="F178" s="5">
        <v>376.71</v>
      </c>
      <c r="G178" s="3" t="s">
        <v>86</v>
      </c>
      <c r="H178" s="3" t="s">
        <v>14</v>
      </c>
      <c r="I178" s="8">
        <f t="shared" si="2"/>
        <v>45323</v>
      </c>
    </row>
    <row r="179" spans="1:9" x14ac:dyDescent="0.25">
      <c r="A179" s="7" t="s">
        <v>266</v>
      </c>
      <c r="B179" s="4">
        <v>45344</v>
      </c>
      <c r="C179" s="3" t="s">
        <v>39</v>
      </c>
      <c r="D179" s="3" t="s">
        <v>40</v>
      </c>
      <c r="E179" s="3" t="s">
        <v>182</v>
      </c>
      <c r="F179" s="5">
        <v>568.54999999999995</v>
      </c>
      <c r="G179" s="3" t="s">
        <v>19</v>
      </c>
      <c r="H179" s="3" t="s">
        <v>20</v>
      </c>
      <c r="I179" s="8">
        <f t="shared" si="2"/>
        <v>45323</v>
      </c>
    </row>
    <row r="180" spans="1:9" x14ac:dyDescent="0.25">
      <c r="A180" s="7" t="s">
        <v>267</v>
      </c>
      <c r="B180" s="4">
        <v>45345</v>
      </c>
      <c r="C180" s="3" t="s">
        <v>10</v>
      </c>
      <c r="D180" s="3" t="s">
        <v>50</v>
      </c>
      <c r="E180" s="3" t="s">
        <v>62</v>
      </c>
      <c r="F180" s="5">
        <v>99.24</v>
      </c>
      <c r="G180" s="3" t="s">
        <v>24</v>
      </c>
      <c r="H180" s="3" t="s">
        <v>14</v>
      </c>
      <c r="I180" s="8">
        <f t="shared" si="2"/>
        <v>45323</v>
      </c>
    </row>
    <row r="181" spans="1:9" x14ac:dyDescent="0.25">
      <c r="A181" s="7" t="s">
        <v>268</v>
      </c>
      <c r="B181" s="4">
        <v>45345</v>
      </c>
      <c r="C181" s="3" t="s">
        <v>49</v>
      </c>
      <c r="D181" s="3" t="s">
        <v>114</v>
      </c>
      <c r="E181" s="3" t="s">
        <v>117</v>
      </c>
      <c r="F181" s="5">
        <v>453.77</v>
      </c>
      <c r="G181" s="3" t="s">
        <v>24</v>
      </c>
      <c r="H181" s="3" t="s">
        <v>14</v>
      </c>
      <c r="I181" s="8">
        <f t="shared" si="2"/>
        <v>45323</v>
      </c>
    </row>
    <row r="182" spans="1:9" x14ac:dyDescent="0.25">
      <c r="A182" s="7" t="s">
        <v>269</v>
      </c>
      <c r="B182" s="4">
        <v>45345</v>
      </c>
      <c r="C182" s="3" t="s">
        <v>33</v>
      </c>
      <c r="D182" s="3" t="s">
        <v>46</v>
      </c>
      <c r="E182" s="3" t="s">
        <v>187</v>
      </c>
      <c r="F182" s="5">
        <v>470.47</v>
      </c>
      <c r="G182" s="3" t="s">
        <v>86</v>
      </c>
      <c r="H182" s="3" t="s">
        <v>14</v>
      </c>
      <c r="I182" s="8">
        <f t="shared" si="2"/>
        <v>45323</v>
      </c>
    </row>
    <row r="183" spans="1:9" x14ac:dyDescent="0.25">
      <c r="A183" s="7" t="s">
        <v>270</v>
      </c>
      <c r="B183" s="4">
        <v>45346</v>
      </c>
      <c r="C183" s="3" t="s">
        <v>49</v>
      </c>
      <c r="D183" s="3" t="s">
        <v>30</v>
      </c>
      <c r="E183" s="3" t="s">
        <v>34</v>
      </c>
      <c r="F183" s="5">
        <v>38.35</v>
      </c>
      <c r="G183" s="3" t="s">
        <v>52</v>
      </c>
      <c r="H183" s="3" t="s">
        <v>14</v>
      </c>
      <c r="I183" s="8">
        <f t="shared" si="2"/>
        <v>45323</v>
      </c>
    </row>
    <row r="184" spans="1:9" x14ac:dyDescent="0.25">
      <c r="A184" s="7" t="s">
        <v>271</v>
      </c>
      <c r="B184" s="4">
        <v>45346</v>
      </c>
      <c r="C184" s="3" t="s">
        <v>22</v>
      </c>
      <c r="D184" s="3" t="s">
        <v>50</v>
      </c>
      <c r="E184" s="3" t="s">
        <v>62</v>
      </c>
      <c r="F184" s="5">
        <v>130.82</v>
      </c>
      <c r="G184" s="3" t="s">
        <v>52</v>
      </c>
      <c r="H184" s="3" t="s">
        <v>14</v>
      </c>
      <c r="I184" s="8">
        <f t="shared" si="2"/>
        <v>45323</v>
      </c>
    </row>
    <row r="185" spans="1:9" x14ac:dyDescent="0.25">
      <c r="A185" s="7" t="s">
        <v>272</v>
      </c>
      <c r="B185" s="4">
        <v>45346</v>
      </c>
      <c r="C185" s="3" t="s">
        <v>39</v>
      </c>
      <c r="D185" s="3" t="s">
        <v>17</v>
      </c>
      <c r="E185" s="3" t="s">
        <v>197</v>
      </c>
      <c r="F185" s="5">
        <v>833.81</v>
      </c>
      <c r="G185" s="3" t="s">
        <v>19</v>
      </c>
      <c r="H185" s="3" t="s">
        <v>14</v>
      </c>
      <c r="I185" s="8">
        <f t="shared" si="2"/>
        <v>45323</v>
      </c>
    </row>
    <row r="186" spans="1:9" x14ac:dyDescent="0.25">
      <c r="A186" s="7" t="s">
        <v>273</v>
      </c>
      <c r="B186" s="4">
        <v>45346</v>
      </c>
      <c r="C186" s="3" t="s">
        <v>39</v>
      </c>
      <c r="D186" s="3" t="s">
        <v>30</v>
      </c>
      <c r="E186" s="3" t="s">
        <v>31</v>
      </c>
      <c r="F186" s="5">
        <v>204.47</v>
      </c>
      <c r="G186" s="3" t="s">
        <v>52</v>
      </c>
      <c r="H186" s="3" t="s">
        <v>14</v>
      </c>
      <c r="I186" s="8">
        <f t="shared" si="2"/>
        <v>45323</v>
      </c>
    </row>
    <row r="187" spans="1:9" x14ac:dyDescent="0.25">
      <c r="A187" s="7" t="s">
        <v>274</v>
      </c>
      <c r="B187" s="4">
        <v>45347</v>
      </c>
      <c r="C187" s="3" t="s">
        <v>29</v>
      </c>
      <c r="D187" s="3" t="s">
        <v>30</v>
      </c>
      <c r="E187" s="3" t="s">
        <v>185</v>
      </c>
      <c r="F187" s="5">
        <v>336.73</v>
      </c>
      <c r="G187" s="3" t="s">
        <v>24</v>
      </c>
      <c r="H187" s="3" t="s">
        <v>20</v>
      </c>
      <c r="I187" s="8">
        <f t="shared" si="2"/>
        <v>45323</v>
      </c>
    </row>
    <row r="188" spans="1:9" x14ac:dyDescent="0.25">
      <c r="A188" s="7" t="s">
        <v>275</v>
      </c>
      <c r="B188" s="4">
        <v>45347</v>
      </c>
      <c r="C188" s="3" t="s">
        <v>39</v>
      </c>
      <c r="D188" s="3" t="s">
        <v>40</v>
      </c>
      <c r="E188" s="3" t="s">
        <v>41</v>
      </c>
      <c r="F188" s="5">
        <v>842.07</v>
      </c>
      <c r="G188" s="3" t="s">
        <v>19</v>
      </c>
      <c r="H188" s="3" t="s">
        <v>14</v>
      </c>
      <c r="I188" s="8">
        <f t="shared" si="2"/>
        <v>45323</v>
      </c>
    </row>
    <row r="189" spans="1:9" x14ac:dyDescent="0.25">
      <c r="A189" s="7" t="s">
        <v>276</v>
      </c>
      <c r="B189" s="4">
        <v>45348</v>
      </c>
      <c r="C189" s="3" t="s">
        <v>54</v>
      </c>
      <c r="D189" s="3" t="s">
        <v>46</v>
      </c>
      <c r="E189" s="3" t="s">
        <v>234</v>
      </c>
      <c r="F189" s="5">
        <v>346.95</v>
      </c>
      <c r="G189" s="3" t="s">
        <v>13</v>
      </c>
      <c r="H189" s="3" t="s">
        <v>14</v>
      </c>
      <c r="I189" s="8">
        <f t="shared" si="2"/>
        <v>45323</v>
      </c>
    </row>
    <row r="190" spans="1:9" x14ac:dyDescent="0.25">
      <c r="A190" s="7" t="s">
        <v>277</v>
      </c>
      <c r="B190" s="4">
        <v>45348</v>
      </c>
      <c r="C190" s="3" t="s">
        <v>16</v>
      </c>
      <c r="D190" s="3" t="s">
        <v>114</v>
      </c>
      <c r="E190" s="3" t="s">
        <v>117</v>
      </c>
      <c r="F190" s="5">
        <v>1181.46</v>
      </c>
      <c r="G190" s="3" t="s">
        <v>24</v>
      </c>
      <c r="H190" s="3" t="s">
        <v>14</v>
      </c>
      <c r="I190" s="8">
        <f t="shared" si="2"/>
        <v>45323</v>
      </c>
    </row>
    <row r="191" spans="1:9" x14ac:dyDescent="0.25">
      <c r="A191" s="7" t="s">
        <v>278</v>
      </c>
      <c r="B191" s="4">
        <v>45348</v>
      </c>
      <c r="C191" s="3" t="s">
        <v>33</v>
      </c>
      <c r="D191" s="3" t="s">
        <v>22</v>
      </c>
      <c r="E191" s="3" t="s">
        <v>93</v>
      </c>
      <c r="F191" s="5">
        <v>826.93</v>
      </c>
      <c r="G191" s="3" t="s">
        <v>27</v>
      </c>
      <c r="H191" s="3" t="s">
        <v>14</v>
      </c>
      <c r="I191" s="8">
        <f t="shared" si="2"/>
        <v>45323</v>
      </c>
    </row>
    <row r="192" spans="1:9" x14ac:dyDescent="0.25">
      <c r="A192" s="7" t="s">
        <v>279</v>
      </c>
      <c r="B192" s="4">
        <v>45349</v>
      </c>
      <c r="C192" s="3" t="s">
        <v>16</v>
      </c>
      <c r="D192" s="3" t="s">
        <v>17</v>
      </c>
      <c r="E192" s="3" t="s">
        <v>68</v>
      </c>
      <c r="F192" s="5">
        <v>782.76</v>
      </c>
      <c r="G192" s="3" t="s">
        <v>19</v>
      </c>
      <c r="H192" s="3" t="s">
        <v>14</v>
      </c>
      <c r="I192" s="8">
        <f t="shared" si="2"/>
        <v>45323</v>
      </c>
    </row>
    <row r="193" spans="1:9" x14ac:dyDescent="0.25">
      <c r="A193" s="7" t="s">
        <v>280</v>
      </c>
      <c r="B193" s="4">
        <v>45350</v>
      </c>
      <c r="C193" s="3" t="s">
        <v>29</v>
      </c>
      <c r="D193" s="3" t="s">
        <v>50</v>
      </c>
      <c r="E193" s="3" t="s">
        <v>51</v>
      </c>
      <c r="F193" s="5">
        <v>141.93</v>
      </c>
      <c r="G193" s="3" t="s">
        <v>24</v>
      </c>
      <c r="H193" s="3" t="s">
        <v>20</v>
      </c>
      <c r="I193" s="8">
        <f t="shared" si="2"/>
        <v>45323</v>
      </c>
    </row>
    <row r="194" spans="1:9" x14ac:dyDescent="0.25">
      <c r="A194" s="7" t="s">
        <v>281</v>
      </c>
      <c r="B194" s="4">
        <v>45350</v>
      </c>
      <c r="C194" s="3" t="s">
        <v>10</v>
      </c>
      <c r="D194" s="3" t="s">
        <v>17</v>
      </c>
      <c r="E194" s="3" t="s">
        <v>154</v>
      </c>
      <c r="F194" s="5">
        <v>1172.44</v>
      </c>
      <c r="G194" s="3" t="s">
        <v>19</v>
      </c>
      <c r="H194" s="3" t="s">
        <v>14</v>
      </c>
      <c r="I194" s="8">
        <f t="shared" si="2"/>
        <v>45323</v>
      </c>
    </row>
    <row r="195" spans="1:9" x14ac:dyDescent="0.25">
      <c r="A195" s="7" t="s">
        <v>282</v>
      </c>
      <c r="B195" s="4">
        <v>45350</v>
      </c>
      <c r="C195" s="3" t="s">
        <v>39</v>
      </c>
      <c r="D195" s="3" t="s">
        <v>55</v>
      </c>
      <c r="E195" s="3" t="s">
        <v>95</v>
      </c>
      <c r="F195" s="5">
        <v>1040.3499999999999</v>
      </c>
      <c r="G195" s="3" t="s">
        <v>27</v>
      </c>
      <c r="H195" s="3" t="s">
        <v>14</v>
      </c>
      <c r="I195" s="8">
        <f t="shared" si="2"/>
        <v>45323</v>
      </c>
    </row>
    <row r="196" spans="1:9" x14ac:dyDescent="0.25">
      <c r="A196" s="7" t="s">
        <v>283</v>
      </c>
      <c r="B196" s="4">
        <v>45350</v>
      </c>
      <c r="C196" s="3" t="s">
        <v>49</v>
      </c>
      <c r="D196" s="3" t="s">
        <v>17</v>
      </c>
      <c r="E196" s="3" t="s">
        <v>136</v>
      </c>
      <c r="F196" s="5">
        <v>774.45</v>
      </c>
      <c r="G196" s="3" t="s">
        <v>24</v>
      </c>
      <c r="H196" s="3" t="s">
        <v>20</v>
      </c>
      <c r="I196" s="8">
        <f t="shared" si="2"/>
        <v>45323</v>
      </c>
    </row>
    <row r="197" spans="1:9" x14ac:dyDescent="0.25">
      <c r="A197" s="7" t="s">
        <v>284</v>
      </c>
      <c r="B197" s="4">
        <v>45350</v>
      </c>
      <c r="C197" s="3" t="s">
        <v>33</v>
      </c>
      <c r="D197" s="3" t="s">
        <v>40</v>
      </c>
      <c r="E197" s="3" t="s">
        <v>105</v>
      </c>
      <c r="F197" s="5">
        <v>100.7</v>
      </c>
      <c r="G197" s="3" t="s">
        <v>19</v>
      </c>
      <c r="H197" s="3" t="s">
        <v>14</v>
      </c>
      <c r="I197" s="8">
        <f t="shared" ref="I197:I260" si="3">DATE(YEAR(B197),MONTH(B197),1)</f>
        <v>45323</v>
      </c>
    </row>
    <row r="198" spans="1:9" x14ac:dyDescent="0.25">
      <c r="A198" s="7" t="s">
        <v>285</v>
      </c>
      <c r="B198" s="4">
        <v>45350</v>
      </c>
      <c r="C198" s="3" t="s">
        <v>39</v>
      </c>
      <c r="D198" s="3" t="s">
        <v>36</v>
      </c>
      <c r="E198" s="3" t="s">
        <v>37</v>
      </c>
      <c r="F198" s="5">
        <v>39.22</v>
      </c>
      <c r="G198" s="3" t="s">
        <v>27</v>
      </c>
      <c r="H198" s="3" t="s">
        <v>14</v>
      </c>
      <c r="I198" s="8">
        <f t="shared" si="3"/>
        <v>45323</v>
      </c>
    </row>
    <row r="199" spans="1:9" x14ac:dyDescent="0.25">
      <c r="A199" s="7" t="s">
        <v>286</v>
      </c>
      <c r="B199" s="4">
        <v>45350</v>
      </c>
      <c r="C199" s="3" t="s">
        <v>29</v>
      </c>
      <c r="D199" s="3" t="s">
        <v>40</v>
      </c>
      <c r="E199" s="3" t="s">
        <v>41</v>
      </c>
      <c r="F199" s="5">
        <v>328.53</v>
      </c>
      <c r="G199" s="3" t="s">
        <v>19</v>
      </c>
      <c r="H199" s="3" t="s">
        <v>14</v>
      </c>
      <c r="I199" s="8">
        <f t="shared" si="3"/>
        <v>45323</v>
      </c>
    </row>
    <row r="200" spans="1:9" x14ac:dyDescent="0.25">
      <c r="A200" s="7" t="s">
        <v>287</v>
      </c>
      <c r="B200" s="4">
        <v>45351</v>
      </c>
      <c r="C200" s="3" t="s">
        <v>29</v>
      </c>
      <c r="D200" s="3" t="s">
        <v>50</v>
      </c>
      <c r="E200" s="3" t="s">
        <v>51</v>
      </c>
      <c r="F200" s="5">
        <v>26.48</v>
      </c>
      <c r="G200" s="3" t="s">
        <v>24</v>
      </c>
      <c r="H200" s="3" t="s">
        <v>14</v>
      </c>
      <c r="I200" s="8">
        <f t="shared" si="3"/>
        <v>45323</v>
      </c>
    </row>
    <row r="201" spans="1:9" x14ac:dyDescent="0.25">
      <c r="A201" s="7" t="s">
        <v>288</v>
      </c>
      <c r="B201" s="4">
        <v>45351</v>
      </c>
      <c r="C201" s="3" t="s">
        <v>33</v>
      </c>
      <c r="D201" s="3" t="s">
        <v>50</v>
      </c>
      <c r="E201" s="3" t="s">
        <v>166</v>
      </c>
      <c r="F201" s="5">
        <v>58.61</v>
      </c>
      <c r="G201" s="3" t="s">
        <v>24</v>
      </c>
      <c r="H201" s="3" t="s">
        <v>20</v>
      </c>
      <c r="I201" s="8">
        <f t="shared" si="3"/>
        <v>45323</v>
      </c>
    </row>
    <row r="202" spans="1:9" x14ac:dyDescent="0.25">
      <c r="A202" s="7" t="s">
        <v>289</v>
      </c>
      <c r="B202" s="4">
        <v>45351</v>
      </c>
      <c r="C202" s="3" t="s">
        <v>22</v>
      </c>
      <c r="D202" s="3" t="s">
        <v>22</v>
      </c>
      <c r="E202" s="3" t="s">
        <v>26</v>
      </c>
      <c r="F202" s="5">
        <v>1549.79</v>
      </c>
      <c r="G202" s="3" t="s">
        <v>27</v>
      </c>
      <c r="H202" s="3" t="s">
        <v>20</v>
      </c>
      <c r="I202" s="8">
        <f t="shared" si="3"/>
        <v>45323</v>
      </c>
    </row>
    <row r="203" spans="1:9" x14ac:dyDescent="0.25">
      <c r="A203" s="7" t="s">
        <v>290</v>
      </c>
      <c r="B203" s="4">
        <v>45351</v>
      </c>
      <c r="C203" s="3" t="s">
        <v>16</v>
      </c>
      <c r="D203" s="3" t="s">
        <v>40</v>
      </c>
      <c r="E203" s="3" t="s">
        <v>105</v>
      </c>
      <c r="F203" s="5">
        <v>464.33</v>
      </c>
      <c r="G203" s="3" t="s">
        <v>27</v>
      </c>
      <c r="H203" s="3" t="s">
        <v>14</v>
      </c>
      <c r="I203" s="8">
        <f t="shared" si="3"/>
        <v>45323</v>
      </c>
    </row>
    <row r="204" spans="1:9" x14ac:dyDescent="0.25">
      <c r="A204" s="7" t="s">
        <v>291</v>
      </c>
      <c r="B204" s="4">
        <v>45351</v>
      </c>
      <c r="C204" s="3" t="s">
        <v>54</v>
      </c>
      <c r="D204" s="3" t="s">
        <v>17</v>
      </c>
      <c r="E204" s="3" t="s">
        <v>68</v>
      </c>
      <c r="F204" s="5">
        <v>633.52</v>
      </c>
      <c r="G204" s="3" t="s">
        <v>24</v>
      </c>
      <c r="H204" s="3" t="s">
        <v>14</v>
      </c>
      <c r="I204" s="8">
        <f t="shared" si="3"/>
        <v>45323</v>
      </c>
    </row>
    <row r="205" spans="1:9" x14ac:dyDescent="0.25">
      <c r="A205" s="7" t="s">
        <v>292</v>
      </c>
      <c r="B205" s="4">
        <v>45352</v>
      </c>
      <c r="C205" s="3" t="s">
        <v>39</v>
      </c>
      <c r="D205" s="3" t="s">
        <v>43</v>
      </c>
      <c r="E205" s="3" t="s">
        <v>44</v>
      </c>
      <c r="F205" s="5">
        <v>189.42</v>
      </c>
      <c r="G205" s="3" t="s">
        <v>86</v>
      </c>
      <c r="H205" s="3" t="s">
        <v>20</v>
      </c>
      <c r="I205" s="8">
        <f t="shared" si="3"/>
        <v>45352</v>
      </c>
    </row>
    <row r="206" spans="1:9" x14ac:dyDescent="0.25">
      <c r="A206" s="7" t="s">
        <v>293</v>
      </c>
      <c r="B206" s="4">
        <v>45352</v>
      </c>
      <c r="C206" s="3" t="s">
        <v>54</v>
      </c>
      <c r="D206" s="3" t="s">
        <v>114</v>
      </c>
      <c r="E206" s="3" t="s">
        <v>115</v>
      </c>
      <c r="F206" s="5">
        <v>699.95</v>
      </c>
      <c r="G206" s="3" t="s">
        <v>24</v>
      </c>
      <c r="H206" s="3" t="s">
        <v>14</v>
      </c>
      <c r="I206" s="8">
        <f t="shared" si="3"/>
        <v>45352</v>
      </c>
    </row>
    <row r="207" spans="1:9" x14ac:dyDescent="0.25">
      <c r="A207" s="7" t="s">
        <v>294</v>
      </c>
      <c r="B207" s="4">
        <v>45352</v>
      </c>
      <c r="C207" s="3" t="s">
        <v>39</v>
      </c>
      <c r="D207" s="3" t="s">
        <v>114</v>
      </c>
      <c r="E207" s="3" t="s">
        <v>115</v>
      </c>
      <c r="F207" s="5">
        <v>748.3</v>
      </c>
      <c r="G207" s="3" t="s">
        <v>24</v>
      </c>
      <c r="H207" s="3" t="s">
        <v>14</v>
      </c>
      <c r="I207" s="8">
        <f t="shared" si="3"/>
        <v>45352</v>
      </c>
    </row>
    <row r="208" spans="1:9" x14ac:dyDescent="0.25">
      <c r="A208" s="7" t="s">
        <v>295</v>
      </c>
      <c r="B208" s="4">
        <v>45352</v>
      </c>
      <c r="C208" s="3" t="s">
        <v>39</v>
      </c>
      <c r="D208" s="3" t="s">
        <v>11</v>
      </c>
      <c r="E208" s="3" t="s">
        <v>12</v>
      </c>
      <c r="F208" s="5">
        <v>15000</v>
      </c>
      <c r="G208" s="3" t="s">
        <v>13</v>
      </c>
      <c r="H208" s="3" t="s">
        <v>14</v>
      </c>
      <c r="I208" s="8">
        <f t="shared" si="3"/>
        <v>45352</v>
      </c>
    </row>
    <row r="209" spans="1:9" x14ac:dyDescent="0.25">
      <c r="A209" s="7" t="s">
        <v>296</v>
      </c>
      <c r="B209" s="4">
        <v>45352</v>
      </c>
      <c r="C209" s="3" t="s">
        <v>10</v>
      </c>
      <c r="D209" s="3" t="s">
        <v>50</v>
      </c>
      <c r="E209" s="3" t="s">
        <v>166</v>
      </c>
      <c r="F209" s="5">
        <v>68.41</v>
      </c>
      <c r="G209" s="3" t="s">
        <v>24</v>
      </c>
      <c r="H209" s="3" t="s">
        <v>14</v>
      </c>
      <c r="I209" s="8">
        <f t="shared" si="3"/>
        <v>45352</v>
      </c>
    </row>
    <row r="210" spans="1:9" x14ac:dyDescent="0.25">
      <c r="A210" s="7" t="s">
        <v>297</v>
      </c>
      <c r="B210" s="4">
        <v>45352</v>
      </c>
      <c r="C210" s="3" t="s">
        <v>16</v>
      </c>
      <c r="D210" s="3" t="s">
        <v>46</v>
      </c>
      <c r="E210" s="3" t="s">
        <v>47</v>
      </c>
      <c r="F210" s="5">
        <v>503.56</v>
      </c>
      <c r="G210" s="3" t="s">
        <v>86</v>
      </c>
      <c r="H210" s="3" t="s">
        <v>20</v>
      </c>
      <c r="I210" s="8">
        <f t="shared" si="3"/>
        <v>45352</v>
      </c>
    </row>
    <row r="211" spans="1:9" x14ac:dyDescent="0.25">
      <c r="A211" s="7" t="s">
        <v>298</v>
      </c>
      <c r="B211" s="4">
        <v>45353</v>
      </c>
      <c r="C211" s="3" t="s">
        <v>16</v>
      </c>
      <c r="D211" s="3" t="s">
        <v>22</v>
      </c>
      <c r="E211" s="3" t="s">
        <v>93</v>
      </c>
      <c r="F211" s="5">
        <v>436.07</v>
      </c>
      <c r="G211" s="3" t="s">
        <v>27</v>
      </c>
      <c r="H211" s="3" t="s">
        <v>20</v>
      </c>
      <c r="I211" s="8">
        <f t="shared" si="3"/>
        <v>45352</v>
      </c>
    </row>
    <row r="212" spans="1:9" x14ac:dyDescent="0.25">
      <c r="A212" s="7" t="s">
        <v>299</v>
      </c>
      <c r="B212" s="4">
        <v>45353</v>
      </c>
      <c r="C212" s="3" t="s">
        <v>49</v>
      </c>
      <c r="D212" s="3" t="s">
        <v>50</v>
      </c>
      <c r="E212" s="3" t="s">
        <v>166</v>
      </c>
      <c r="F212" s="5">
        <v>82.53</v>
      </c>
      <c r="G212" s="3" t="s">
        <v>52</v>
      </c>
      <c r="H212" s="3" t="s">
        <v>20</v>
      </c>
      <c r="I212" s="8">
        <f t="shared" si="3"/>
        <v>45352</v>
      </c>
    </row>
    <row r="213" spans="1:9" x14ac:dyDescent="0.25">
      <c r="A213" s="7" t="s">
        <v>300</v>
      </c>
      <c r="B213" s="4">
        <v>45353</v>
      </c>
      <c r="C213" s="3" t="s">
        <v>49</v>
      </c>
      <c r="D213" s="3" t="s">
        <v>40</v>
      </c>
      <c r="E213" s="3" t="s">
        <v>58</v>
      </c>
      <c r="F213" s="5">
        <v>861.71</v>
      </c>
      <c r="G213" s="3" t="s">
        <v>19</v>
      </c>
      <c r="H213" s="3" t="s">
        <v>14</v>
      </c>
      <c r="I213" s="8">
        <f t="shared" si="3"/>
        <v>45352</v>
      </c>
    </row>
    <row r="214" spans="1:9" x14ac:dyDescent="0.25">
      <c r="A214" s="7" t="s">
        <v>301</v>
      </c>
      <c r="B214" s="4">
        <v>45353</v>
      </c>
      <c r="C214" s="3" t="s">
        <v>29</v>
      </c>
      <c r="D214" s="3" t="s">
        <v>30</v>
      </c>
      <c r="E214" s="3" t="s">
        <v>31</v>
      </c>
      <c r="F214" s="5">
        <v>71.58</v>
      </c>
      <c r="G214" s="3" t="s">
        <v>52</v>
      </c>
      <c r="H214" s="3" t="s">
        <v>14</v>
      </c>
      <c r="I214" s="8">
        <f t="shared" si="3"/>
        <v>45352</v>
      </c>
    </row>
    <row r="215" spans="1:9" x14ac:dyDescent="0.25">
      <c r="A215" s="7" t="s">
        <v>302</v>
      </c>
      <c r="B215" s="4">
        <v>45354</v>
      </c>
      <c r="C215" s="3" t="s">
        <v>39</v>
      </c>
      <c r="D215" s="3" t="s">
        <v>50</v>
      </c>
      <c r="E215" s="3" t="s">
        <v>70</v>
      </c>
      <c r="F215" s="5">
        <v>56.21</v>
      </c>
      <c r="G215" s="3" t="s">
        <v>24</v>
      </c>
      <c r="H215" s="3" t="s">
        <v>14</v>
      </c>
      <c r="I215" s="8">
        <f t="shared" si="3"/>
        <v>45352</v>
      </c>
    </row>
    <row r="216" spans="1:9" x14ac:dyDescent="0.25">
      <c r="A216" s="7" t="s">
        <v>303</v>
      </c>
      <c r="B216" s="4">
        <v>45354</v>
      </c>
      <c r="C216" s="3" t="s">
        <v>54</v>
      </c>
      <c r="D216" s="3" t="s">
        <v>50</v>
      </c>
      <c r="E216" s="3" t="s">
        <v>70</v>
      </c>
      <c r="F216" s="5">
        <v>129.88</v>
      </c>
      <c r="G216" s="3" t="s">
        <v>52</v>
      </c>
      <c r="H216" s="3" t="s">
        <v>14</v>
      </c>
      <c r="I216" s="8">
        <f t="shared" si="3"/>
        <v>45352</v>
      </c>
    </row>
    <row r="217" spans="1:9" x14ac:dyDescent="0.25">
      <c r="A217" s="7" t="s">
        <v>304</v>
      </c>
      <c r="B217" s="4">
        <v>45354</v>
      </c>
      <c r="C217" s="3" t="s">
        <v>22</v>
      </c>
      <c r="D217" s="3" t="s">
        <v>17</v>
      </c>
      <c r="E217" s="3" t="s">
        <v>23</v>
      </c>
      <c r="F217" s="5">
        <v>732.92</v>
      </c>
      <c r="G217" s="3" t="s">
        <v>19</v>
      </c>
      <c r="H217" s="3" t="s">
        <v>14</v>
      </c>
      <c r="I217" s="8">
        <f t="shared" si="3"/>
        <v>45352</v>
      </c>
    </row>
    <row r="218" spans="1:9" x14ac:dyDescent="0.25">
      <c r="A218" s="7" t="s">
        <v>305</v>
      </c>
      <c r="B218" s="4">
        <v>45354</v>
      </c>
      <c r="C218" s="3" t="s">
        <v>54</v>
      </c>
      <c r="D218" s="3" t="s">
        <v>30</v>
      </c>
      <c r="E218" s="3" t="s">
        <v>31</v>
      </c>
      <c r="F218" s="5">
        <v>276.75</v>
      </c>
      <c r="G218" s="3" t="s">
        <v>24</v>
      </c>
      <c r="H218" s="3" t="s">
        <v>14</v>
      </c>
      <c r="I218" s="8">
        <f t="shared" si="3"/>
        <v>45352</v>
      </c>
    </row>
    <row r="219" spans="1:9" x14ac:dyDescent="0.25">
      <c r="A219" s="7" t="s">
        <v>306</v>
      </c>
      <c r="B219" s="4">
        <v>45354</v>
      </c>
      <c r="C219" s="3" t="s">
        <v>16</v>
      </c>
      <c r="D219" s="3" t="s">
        <v>17</v>
      </c>
      <c r="E219" s="3" t="s">
        <v>80</v>
      </c>
      <c r="F219" s="5">
        <v>249.33</v>
      </c>
      <c r="G219" s="3" t="s">
        <v>19</v>
      </c>
      <c r="H219" s="3" t="s">
        <v>14</v>
      </c>
      <c r="I219" s="8">
        <f t="shared" si="3"/>
        <v>45352</v>
      </c>
    </row>
    <row r="220" spans="1:9" x14ac:dyDescent="0.25">
      <c r="A220" s="7" t="s">
        <v>307</v>
      </c>
      <c r="B220" s="4">
        <v>45355</v>
      </c>
      <c r="C220" s="3" t="s">
        <v>33</v>
      </c>
      <c r="D220" s="3" t="s">
        <v>82</v>
      </c>
      <c r="E220" s="3" t="s">
        <v>227</v>
      </c>
      <c r="F220" s="5">
        <v>207.44</v>
      </c>
      <c r="G220" s="3" t="s">
        <v>13</v>
      </c>
      <c r="H220" s="3" t="s">
        <v>14</v>
      </c>
      <c r="I220" s="8">
        <f t="shared" si="3"/>
        <v>45352</v>
      </c>
    </row>
    <row r="221" spans="1:9" x14ac:dyDescent="0.25">
      <c r="A221" s="7" t="s">
        <v>308</v>
      </c>
      <c r="B221" s="4">
        <v>45355</v>
      </c>
      <c r="C221" s="3" t="s">
        <v>54</v>
      </c>
      <c r="D221" s="3" t="s">
        <v>17</v>
      </c>
      <c r="E221" s="3" t="s">
        <v>136</v>
      </c>
      <c r="F221" s="5">
        <v>1384.39</v>
      </c>
      <c r="G221" s="3" t="s">
        <v>19</v>
      </c>
      <c r="H221" s="3" t="s">
        <v>14</v>
      </c>
      <c r="I221" s="8">
        <f t="shared" si="3"/>
        <v>45352</v>
      </c>
    </row>
    <row r="222" spans="1:9" x14ac:dyDescent="0.25">
      <c r="A222" s="7" t="s">
        <v>309</v>
      </c>
      <c r="B222" s="4">
        <v>45355</v>
      </c>
      <c r="C222" s="3" t="s">
        <v>29</v>
      </c>
      <c r="D222" s="3" t="s">
        <v>36</v>
      </c>
      <c r="E222" s="3" t="s">
        <v>88</v>
      </c>
      <c r="F222" s="5">
        <v>217.08</v>
      </c>
      <c r="G222" s="3" t="s">
        <v>27</v>
      </c>
      <c r="H222" s="3" t="s">
        <v>14</v>
      </c>
      <c r="I222" s="8">
        <f t="shared" si="3"/>
        <v>45352</v>
      </c>
    </row>
    <row r="223" spans="1:9" x14ac:dyDescent="0.25">
      <c r="A223" s="7" t="s">
        <v>310</v>
      </c>
      <c r="B223" s="4">
        <v>45355</v>
      </c>
      <c r="C223" s="3" t="s">
        <v>22</v>
      </c>
      <c r="D223" s="3" t="s">
        <v>17</v>
      </c>
      <c r="E223" s="3" t="s">
        <v>68</v>
      </c>
      <c r="F223" s="5">
        <v>1209.48</v>
      </c>
      <c r="G223" s="3" t="s">
        <v>19</v>
      </c>
      <c r="H223" s="3" t="s">
        <v>14</v>
      </c>
      <c r="I223" s="8">
        <f t="shared" si="3"/>
        <v>45352</v>
      </c>
    </row>
    <row r="224" spans="1:9" x14ac:dyDescent="0.25">
      <c r="A224" s="7" t="s">
        <v>311</v>
      </c>
      <c r="B224" s="4">
        <v>45355</v>
      </c>
      <c r="C224" s="3" t="s">
        <v>29</v>
      </c>
      <c r="D224" s="3" t="s">
        <v>114</v>
      </c>
      <c r="E224" s="3" t="s">
        <v>199</v>
      </c>
      <c r="F224" s="5">
        <v>551.75</v>
      </c>
      <c r="G224" s="3" t="s">
        <v>19</v>
      </c>
      <c r="H224" s="3" t="s">
        <v>14</v>
      </c>
      <c r="I224" s="8">
        <f t="shared" si="3"/>
        <v>45352</v>
      </c>
    </row>
    <row r="225" spans="1:9" x14ac:dyDescent="0.25">
      <c r="A225" s="7" t="s">
        <v>312</v>
      </c>
      <c r="B225" s="4">
        <v>45356</v>
      </c>
      <c r="C225" s="3" t="s">
        <v>49</v>
      </c>
      <c r="D225" s="3" t="s">
        <v>43</v>
      </c>
      <c r="E225" s="3" t="s">
        <v>78</v>
      </c>
      <c r="F225" s="5">
        <v>363.03</v>
      </c>
      <c r="G225" s="3" t="s">
        <v>13</v>
      </c>
      <c r="H225" s="3" t="s">
        <v>20</v>
      </c>
      <c r="I225" s="8">
        <f t="shared" si="3"/>
        <v>45352</v>
      </c>
    </row>
    <row r="226" spans="1:9" x14ac:dyDescent="0.25">
      <c r="A226" s="7" t="s">
        <v>313</v>
      </c>
      <c r="B226" s="4">
        <v>45356</v>
      </c>
      <c r="C226" s="3" t="s">
        <v>16</v>
      </c>
      <c r="D226" s="3" t="s">
        <v>22</v>
      </c>
      <c r="E226" s="3" t="s">
        <v>93</v>
      </c>
      <c r="F226" s="5">
        <v>1468.08</v>
      </c>
      <c r="G226" s="3" t="s">
        <v>27</v>
      </c>
      <c r="H226" s="3" t="s">
        <v>14</v>
      </c>
      <c r="I226" s="8">
        <f t="shared" si="3"/>
        <v>45352</v>
      </c>
    </row>
    <row r="227" spans="1:9" x14ac:dyDescent="0.25">
      <c r="A227" s="7" t="s">
        <v>314</v>
      </c>
      <c r="B227" s="4">
        <v>45356</v>
      </c>
      <c r="C227" s="3" t="s">
        <v>22</v>
      </c>
      <c r="D227" s="3" t="s">
        <v>82</v>
      </c>
      <c r="E227" s="3" t="s">
        <v>83</v>
      </c>
      <c r="F227" s="5">
        <v>452.62</v>
      </c>
      <c r="G227" s="3" t="s">
        <v>13</v>
      </c>
      <c r="H227" s="3" t="s">
        <v>14</v>
      </c>
      <c r="I227" s="8">
        <f t="shared" si="3"/>
        <v>45352</v>
      </c>
    </row>
    <row r="228" spans="1:9" x14ac:dyDescent="0.25">
      <c r="A228" s="7" t="s">
        <v>315</v>
      </c>
      <c r="B228" s="4">
        <v>45357</v>
      </c>
      <c r="C228" s="3" t="s">
        <v>33</v>
      </c>
      <c r="D228" s="3" t="s">
        <v>50</v>
      </c>
      <c r="E228" s="3" t="s">
        <v>70</v>
      </c>
      <c r="F228" s="5">
        <v>132.13</v>
      </c>
      <c r="G228" s="3" t="s">
        <v>24</v>
      </c>
      <c r="H228" s="3" t="s">
        <v>20</v>
      </c>
      <c r="I228" s="8">
        <f t="shared" si="3"/>
        <v>45352</v>
      </c>
    </row>
    <row r="229" spans="1:9" x14ac:dyDescent="0.25">
      <c r="A229" s="7" t="s">
        <v>316</v>
      </c>
      <c r="B229" s="4">
        <v>45357</v>
      </c>
      <c r="C229" s="3" t="s">
        <v>33</v>
      </c>
      <c r="D229" s="3" t="s">
        <v>30</v>
      </c>
      <c r="E229" s="3" t="s">
        <v>169</v>
      </c>
      <c r="F229" s="5">
        <v>192.82</v>
      </c>
      <c r="G229" s="3" t="s">
        <v>24</v>
      </c>
      <c r="H229" s="3" t="s">
        <v>20</v>
      </c>
      <c r="I229" s="8">
        <f t="shared" si="3"/>
        <v>45352</v>
      </c>
    </row>
    <row r="230" spans="1:9" x14ac:dyDescent="0.25">
      <c r="A230" s="7" t="s">
        <v>317</v>
      </c>
      <c r="B230" s="4">
        <v>45357</v>
      </c>
      <c r="C230" s="3" t="s">
        <v>22</v>
      </c>
      <c r="D230" s="3" t="s">
        <v>22</v>
      </c>
      <c r="E230" s="3" t="s">
        <v>175</v>
      </c>
      <c r="F230" s="5">
        <v>2498.67</v>
      </c>
      <c r="G230" s="3" t="s">
        <v>27</v>
      </c>
      <c r="H230" s="3" t="s">
        <v>14</v>
      </c>
      <c r="I230" s="8">
        <f t="shared" si="3"/>
        <v>45352</v>
      </c>
    </row>
    <row r="231" spans="1:9" x14ac:dyDescent="0.25">
      <c r="A231" s="7" t="s">
        <v>318</v>
      </c>
      <c r="B231" s="4">
        <v>45358</v>
      </c>
      <c r="C231" s="3" t="s">
        <v>29</v>
      </c>
      <c r="D231" s="3" t="s">
        <v>114</v>
      </c>
      <c r="E231" s="3" t="s">
        <v>115</v>
      </c>
      <c r="F231" s="5">
        <v>593.26</v>
      </c>
      <c r="G231" s="3" t="s">
        <v>24</v>
      </c>
      <c r="H231" s="3" t="s">
        <v>20</v>
      </c>
      <c r="I231" s="8">
        <f t="shared" si="3"/>
        <v>45352</v>
      </c>
    </row>
    <row r="232" spans="1:9" x14ac:dyDescent="0.25">
      <c r="A232" s="7" t="s">
        <v>319</v>
      </c>
      <c r="B232" s="4">
        <v>45358</v>
      </c>
      <c r="C232" s="3" t="s">
        <v>54</v>
      </c>
      <c r="D232" s="3" t="s">
        <v>50</v>
      </c>
      <c r="E232" s="3" t="s">
        <v>62</v>
      </c>
      <c r="F232" s="5">
        <v>61.05</v>
      </c>
      <c r="G232" s="3" t="s">
        <v>24</v>
      </c>
      <c r="H232" s="3" t="s">
        <v>14</v>
      </c>
      <c r="I232" s="8">
        <f t="shared" si="3"/>
        <v>45352</v>
      </c>
    </row>
    <row r="233" spans="1:9" x14ac:dyDescent="0.25">
      <c r="A233" s="7" t="s">
        <v>320</v>
      </c>
      <c r="B233" s="4">
        <v>45358</v>
      </c>
      <c r="C233" s="3" t="s">
        <v>16</v>
      </c>
      <c r="D233" s="3" t="s">
        <v>55</v>
      </c>
      <c r="E233" s="3" t="s">
        <v>162</v>
      </c>
      <c r="F233" s="5">
        <v>152.21</v>
      </c>
      <c r="G233" s="3" t="s">
        <v>27</v>
      </c>
      <c r="H233" s="3" t="s">
        <v>14</v>
      </c>
      <c r="I233" s="8">
        <f t="shared" si="3"/>
        <v>45352</v>
      </c>
    </row>
    <row r="234" spans="1:9" x14ac:dyDescent="0.25">
      <c r="A234" s="7" t="s">
        <v>321</v>
      </c>
      <c r="B234" s="4">
        <v>45359</v>
      </c>
      <c r="C234" s="3" t="s">
        <v>54</v>
      </c>
      <c r="D234" s="3" t="s">
        <v>114</v>
      </c>
      <c r="E234" s="3" t="s">
        <v>115</v>
      </c>
      <c r="F234" s="5">
        <v>999.89</v>
      </c>
      <c r="G234" s="3" t="s">
        <v>19</v>
      </c>
      <c r="H234" s="3" t="s">
        <v>14</v>
      </c>
      <c r="I234" s="8">
        <f t="shared" si="3"/>
        <v>45352</v>
      </c>
    </row>
    <row r="235" spans="1:9" x14ac:dyDescent="0.25">
      <c r="A235" s="7" t="s">
        <v>322</v>
      </c>
      <c r="B235" s="4">
        <v>45359</v>
      </c>
      <c r="C235" s="3" t="s">
        <v>10</v>
      </c>
      <c r="D235" s="3" t="s">
        <v>30</v>
      </c>
      <c r="E235" s="3" t="s">
        <v>60</v>
      </c>
      <c r="F235" s="5">
        <v>89.94</v>
      </c>
      <c r="G235" s="3" t="s">
        <v>52</v>
      </c>
      <c r="H235" s="3" t="s">
        <v>20</v>
      </c>
      <c r="I235" s="8">
        <f t="shared" si="3"/>
        <v>45352</v>
      </c>
    </row>
    <row r="236" spans="1:9" x14ac:dyDescent="0.25">
      <c r="A236" s="7" t="s">
        <v>323</v>
      </c>
      <c r="B236" s="4">
        <v>45359</v>
      </c>
      <c r="C236" s="3" t="s">
        <v>49</v>
      </c>
      <c r="D236" s="3" t="s">
        <v>114</v>
      </c>
      <c r="E236" s="3" t="s">
        <v>117</v>
      </c>
      <c r="F236" s="5">
        <v>251.59</v>
      </c>
      <c r="G236" s="3" t="s">
        <v>19</v>
      </c>
      <c r="H236" s="3" t="s">
        <v>14</v>
      </c>
      <c r="I236" s="8">
        <f t="shared" si="3"/>
        <v>45352</v>
      </c>
    </row>
    <row r="237" spans="1:9" x14ac:dyDescent="0.25">
      <c r="A237" s="7" t="s">
        <v>324</v>
      </c>
      <c r="B237" s="4">
        <v>45359</v>
      </c>
      <c r="C237" s="3" t="s">
        <v>16</v>
      </c>
      <c r="D237" s="3" t="s">
        <v>114</v>
      </c>
      <c r="E237" s="3" t="s">
        <v>117</v>
      </c>
      <c r="F237" s="5">
        <v>759.87</v>
      </c>
      <c r="G237" s="3" t="s">
        <v>24</v>
      </c>
      <c r="H237" s="3" t="s">
        <v>14</v>
      </c>
      <c r="I237" s="8">
        <f t="shared" si="3"/>
        <v>45352</v>
      </c>
    </row>
    <row r="238" spans="1:9" x14ac:dyDescent="0.25">
      <c r="A238" s="7" t="s">
        <v>325</v>
      </c>
      <c r="B238" s="4">
        <v>45359</v>
      </c>
      <c r="C238" s="3" t="s">
        <v>10</v>
      </c>
      <c r="D238" s="3" t="s">
        <v>36</v>
      </c>
      <c r="E238" s="3" t="s">
        <v>37</v>
      </c>
      <c r="F238" s="5">
        <v>177.26</v>
      </c>
      <c r="G238" s="3" t="s">
        <v>27</v>
      </c>
      <c r="H238" s="3" t="s">
        <v>14</v>
      </c>
      <c r="I238" s="8">
        <f t="shared" si="3"/>
        <v>45352</v>
      </c>
    </row>
    <row r="239" spans="1:9" x14ac:dyDescent="0.25">
      <c r="A239" s="7" t="s">
        <v>326</v>
      </c>
      <c r="B239" s="4">
        <v>45359</v>
      </c>
      <c r="C239" s="3" t="s">
        <v>54</v>
      </c>
      <c r="D239" s="3" t="s">
        <v>30</v>
      </c>
      <c r="E239" s="3" t="s">
        <v>65</v>
      </c>
      <c r="F239" s="5">
        <v>329.92</v>
      </c>
      <c r="G239" s="3" t="s">
        <v>19</v>
      </c>
      <c r="H239" s="3" t="s">
        <v>14</v>
      </c>
      <c r="I239" s="8">
        <f t="shared" si="3"/>
        <v>45352</v>
      </c>
    </row>
    <row r="240" spans="1:9" x14ac:dyDescent="0.25">
      <c r="A240" s="7" t="s">
        <v>327</v>
      </c>
      <c r="B240" s="4">
        <v>45360</v>
      </c>
      <c r="C240" s="3" t="s">
        <v>29</v>
      </c>
      <c r="D240" s="3" t="s">
        <v>46</v>
      </c>
      <c r="E240" s="3" t="s">
        <v>234</v>
      </c>
      <c r="F240" s="5">
        <v>492.43</v>
      </c>
      <c r="G240" s="3" t="s">
        <v>13</v>
      </c>
      <c r="H240" s="3" t="s">
        <v>14</v>
      </c>
      <c r="I240" s="8">
        <f t="shared" si="3"/>
        <v>45352</v>
      </c>
    </row>
    <row r="241" spans="1:9" x14ac:dyDescent="0.25">
      <c r="A241" s="7" t="s">
        <v>328</v>
      </c>
      <c r="B241" s="4">
        <v>45360</v>
      </c>
      <c r="C241" s="3" t="s">
        <v>29</v>
      </c>
      <c r="D241" s="3" t="s">
        <v>17</v>
      </c>
      <c r="E241" s="3" t="s">
        <v>154</v>
      </c>
      <c r="F241" s="5">
        <v>1430.35</v>
      </c>
      <c r="G241" s="3" t="s">
        <v>19</v>
      </c>
      <c r="H241" s="3" t="s">
        <v>14</v>
      </c>
      <c r="I241" s="8">
        <f t="shared" si="3"/>
        <v>45352</v>
      </c>
    </row>
    <row r="242" spans="1:9" x14ac:dyDescent="0.25">
      <c r="A242" s="7" t="s">
        <v>329</v>
      </c>
      <c r="B242" s="4">
        <v>45360</v>
      </c>
      <c r="C242" s="3" t="s">
        <v>33</v>
      </c>
      <c r="D242" s="3" t="s">
        <v>17</v>
      </c>
      <c r="E242" s="3" t="s">
        <v>136</v>
      </c>
      <c r="F242" s="5">
        <v>328.43</v>
      </c>
      <c r="G242" s="3" t="s">
        <v>24</v>
      </c>
      <c r="H242" s="3" t="s">
        <v>20</v>
      </c>
      <c r="I242" s="8">
        <f t="shared" si="3"/>
        <v>45352</v>
      </c>
    </row>
    <row r="243" spans="1:9" x14ac:dyDescent="0.25">
      <c r="A243" s="7" t="s">
        <v>330</v>
      </c>
      <c r="B243" s="4">
        <v>45360</v>
      </c>
      <c r="C243" s="3" t="s">
        <v>16</v>
      </c>
      <c r="D243" s="3" t="s">
        <v>17</v>
      </c>
      <c r="E243" s="3" t="s">
        <v>23</v>
      </c>
      <c r="F243" s="5">
        <v>1147.99</v>
      </c>
      <c r="G243" s="3" t="s">
        <v>19</v>
      </c>
      <c r="H243" s="3" t="s">
        <v>20</v>
      </c>
      <c r="I243" s="8">
        <f t="shared" si="3"/>
        <v>45352</v>
      </c>
    </row>
    <row r="244" spans="1:9" x14ac:dyDescent="0.25">
      <c r="A244" s="7" t="s">
        <v>331</v>
      </c>
      <c r="B244" s="4">
        <v>45361</v>
      </c>
      <c r="C244" s="3" t="s">
        <v>49</v>
      </c>
      <c r="D244" s="3" t="s">
        <v>30</v>
      </c>
      <c r="E244" s="3" t="s">
        <v>34</v>
      </c>
      <c r="F244" s="5">
        <v>336.9</v>
      </c>
      <c r="G244" s="3" t="s">
        <v>19</v>
      </c>
      <c r="H244" s="3" t="s">
        <v>14</v>
      </c>
      <c r="I244" s="8">
        <f t="shared" si="3"/>
        <v>45352</v>
      </c>
    </row>
    <row r="245" spans="1:9" x14ac:dyDescent="0.25">
      <c r="A245" s="7" t="s">
        <v>332</v>
      </c>
      <c r="B245" s="4">
        <v>45361</v>
      </c>
      <c r="C245" s="3" t="s">
        <v>49</v>
      </c>
      <c r="D245" s="3" t="s">
        <v>46</v>
      </c>
      <c r="E245" s="3" t="s">
        <v>234</v>
      </c>
      <c r="F245" s="5">
        <v>412.33</v>
      </c>
      <c r="G245" s="3" t="s">
        <v>13</v>
      </c>
      <c r="H245" s="3" t="s">
        <v>14</v>
      </c>
      <c r="I245" s="8">
        <f t="shared" si="3"/>
        <v>45352</v>
      </c>
    </row>
    <row r="246" spans="1:9" x14ac:dyDescent="0.25">
      <c r="A246" s="7" t="s">
        <v>333</v>
      </c>
      <c r="B246" s="4">
        <v>45361</v>
      </c>
      <c r="C246" s="3" t="s">
        <v>54</v>
      </c>
      <c r="D246" s="3" t="s">
        <v>50</v>
      </c>
      <c r="E246" s="3" t="s">
        <v>70</v>
      </c>
      <c r="F246" s="5">
        <v>8.69</v>
      </c>
      <c r="G246" s="3" t="s">
        <v>52</v>
      </c>
      <c r="H246" s="3" t="s">
        <v>14</v>
      </c>
      <c r="I246" s="8">
        <f t="shared" si="3"/>
        <v>45352</v>
      </c>
    </row>
    <row r="247" spans="1:9" x14ac:dyDescent="0.25">
      <c r="A247" s="7" t="s">
        <v>334</v>
      </c>
      <c r="B247" s="4">
        <v>45361</v>
      </c>
      <c r="C247" s="3" t="s">
        <v>39</v>
      </c>
      <c r="D247" s="3" t="s">
        <v>36</v>
      </c>
      <c r="E247" s="3" t="s">
        <v>88</v>
      </c>
      <c r="F247" s="5">
        <v>145.49</v>
      </c>
      <c r="G247" s="3" t="s">
        <v>19</v>
      </c>
      <c r="H247" s="3" t="s">
        <v>20</v>
      </c>
      <c r="I247" s="8">
        <f t="shared" si="3"/>
        <v>45352</v>
      </c>
    </row>
    <row r="248" spans="1:9" x14ac:dyDescent="0.25">
      <c r="A248" s="7" t="s">
        <v>335</v>
      </c>
      <c r="B248" s="4">
        <v>45362</v>
      </c>
      <c r="C248" s="3" t="s">
        <v>39</v>
      </c>
      <c r="D248" s="3" t="s">
        <v>43</v>
      </c>
      <c r="E248" s="3" t="s">
        <v>336</v>
      </c>
      <c r="F248" s="5">
        <v>257.26</v>
      </c>
      <c r="G248" s="3" t="s">
        <v>13</v>
      </c>
      <c r="H248" s="3" t="s">
        <v>20</v>
      </c>
      <c r="I248" s="8">
        <f t="shared" si="3"/>
        <v>45352</v>
      </c>
    </row>
    <row r="249" spans="1:9" x14ac:dyDescent="0.25">
      <c r="A249" s="7" t="s">
        <v>337</v>
      </c>
      <c r="B249" s="4">
        <v>45362</v>
      </c>
      <c r="C249" s="3" t="s">
        <v>22</v>
      </c>
      <c r="D249" s="3" t="s">
        <v>40</v>
      </c>
      <c r="E249" s="3" t="s">
        <v>130</v>
      </c>
      <c r="F249" s="5">
        <v>224.82</v>
      </c>
      <c r="G249" s="3" t="s">
        <v>19</v>
      </c>
      <c r="H249" s="3" t="s">
        <v>20</v>
      </c>
      <c r="I249" s="8">
        <f t="shared" si="3"/>
        <v>45352</v>
      </c>
    </row>
    <row r="250" spans="1:9" x14ac:dyDescent="0.25">
      <c r="A250" s="7" t="s">
        <v>338</v>
      </c>
      <c r="B250" s="4">
        <v>45362</v>
      </c>
      <c r="C250" s="3" t="s">
        <v>16</v>
      </c>
      <c r="D250" s="3" t="s">
        <v>36</v>
      </c>
      <c r="E250" s="3" t="s">
        <v>37</v>
      </c>
      <c r="F250" s="5">
        <v>206.1</v>
      </c>
      <c r="G250" s="3" t="s">
        <v>19</v>
      </c>
      <c r="H250" s="3" t="s">
        <v>14</v>
      </c>
      <c r="I250" s="8">
        <f t="shared" si="3"/>
        <v>45352</v>
      </c>
    </row>
    <row r="251" spans="1:9" x14ac:dyDescent="0.25">
      <c r="A251" s="7" t="s">
        <v>339</v>
      </c>
      <c r="B251" s="4">
        <v>45363</v>
      </c>
      <c r="C251" s="3" t="s">
        <v>39</v>
      </c>
      <c r="D251" s="3" t="s">
        <v>30</v>
      </c>
      <c r="E251" s="3" t="s">
        <v>60</v>
      </c>
      <c r="F251" s="5">
        <v>257.74</v>
      </c>
      <c r="G251" s="3" t="s">
        <v>52</v>
      </c>
      <c r="H251" s="3" t="s">
        <v>14</v>
      </c>
      <c r="I251" s="8">
        <f t="shared" si="3"/>
        <v>45352</v>
      </c>
    </row>
    <row r="252" spans="1:9" x14ac:dyDescent="0.25">
      <c r="A252" s="7" t="s">
        <v>340</v>
      </c>
      <c r="B252" s="4">
        <v>45363</v>
      </c>
      <c r="C252" s="3" t="s">
        <v>39</v>
      </c>
      <c r="D252" s="3" t="s">
        <v>50</v>
      </c>
      <c r="E252" s="3" t="s">
        <v>62</v>
      </c>
      <c r="F252" s="5">
        <v>5.72</v>
      </c>
      <c r="G252" s="3" t="s">
        <v>52</v>
      </c>
      <c r="H252" s="3" t="s">
        <v>20</v>
      </c>
      <c r="I252" s="8">
        <f t="shared" si="3"/>
        <v>45352</v>
      </c>
    </row>
    <row r="253" spans="1:9" x14ac:dyDescent="0.25">
      <c r="A253" s="7" t="s">
        <v>341</v>
      </c>
      <c r="B253" s="4">
        <v>45363</v>
      </c>
      <c r="C253" s="3" t="s">
        <v>49</v>
      </c>
      <c r="D253" s="3" t="s">
        <v>50</v>
      </c>
      <c r="E253" s="3" t="s">
        <v>166</v>
      </c>
      <c r="F253" s="5">
        <v>89.91</v>
      </c>
      <c r="G253" s="3" t="s">
        <v>52</v>
      </c>
      <c r="H253" s="3" t="s">
        <v>20</v>
      </c>
      <c r="I253" s="8">
        <f t="shared" si="3"/>
        <v>45352</v>
      </c>
    </row>
    <row r="254" spans="1:9" x14ac:dyDescent="0.25">
      <c r="A254" s="7" t="s">
        <v>342</v>
      </c>
      <c r="B254" s="4">
        <v>45364</v>
      </c>
      <c r="C254" s="3" t="s">
        <v>33</v>
      </c>
      <c r="D254" s="3" t="s">
        <v>43</v>
      </c>
      <c r="E254" s="3" t="s">
        <v>336</v>
      </c>
      <c r="F254" s="5">
        <v>314.77</v>
      </c>
      <c r="G254" s="3" t="s">
        <v>86</v>
      </c>
      <c r="H254" s="3" t="s">
        <v>20</v>
      </c>
      <c r="I254" s="8">
        <f t="shared" si="3"/>
        <v>45352</v>
      </c>
    </row>
    <row r="255" spans="1:9" x14ac:dyDescent="0.25">
      <c r="A255" s="7" t="s">
        <v>343</v>
      </c>
      <c r="B255" s="4">
        <v>45364</v>
      </c>
      <c r="C255" s="3" t="s">
        <v>16</v>
      </c>
      <c r="D255" s="3" t="s">
        <v>22</v>
      </c>
      <c r="E255" s="3" t="s">
        <v>175</v>
      </c>
      <c r="F255" s="5">
        <v>686.77</v>
      </c>
      <c r="G255" s="3" t="s">
        <v>27</v>
      </c>
      <c r="H255" s="3" t="s">
        <v>14</v>
      </c>
      <c r="I255" s="8">
        <f t="shared" si="3"/>
        <v>45352</v>
      </c>
    </row>
    <row r="256" spans="1:9" x14ac:dyDescent="0.25">
      <c r="A256" s="7" t="s">
        <v>344</v>
      </c>
      <c r="B256" s="4">
        <v>45365</v>
      </c>
      <c r="C256" s="3" t="s">
        <v>10</v>
      </c>
      <c r="D256" s="3" t="s">
        <v>50</v>
      </c>
      <c r="E256" s="3" t="s">
        <v>51</v>
      </c>
      <c r="F256" s="5">
        <v>54</v>
      </c>
      <c r="G256" s="3" t="s">
        <v>52</v>
      </c>
      <c r="H256" s="3" t="s">
        <v>14</v>
      </c>
      <c r="I256" s="8">
        <f t="shared" si="3"/>
        <v>45352</v>
      </c>
    </row>
    <row r="257" spans="1:9" x14ac:dyDescent="0.25">
      <c r="A257" s="7" t="s">
        <v>345</v>
      </c>
      <c r="B257" s="4">
        <v>45365</v>
      </c>
      <c r="C257" s="3" t="s">
        <v>54</v>
      </c>
      <c r="D257" s="3" t="s">
        <v>82</v>
      </c>
      <c r="E257" s="3" t="s">
        <v>216</v>
      </c>
      <c r="F257" s="5">
        <v>1271.6400000000001</v>
      </c>
      <c r="G257" s="3" t="s">
        <v>27</v>
      </c>
      <c r="H257" s="3" t="s">
        <v>14</v>
      </c>
      <c r="I257" s="8">
        <f t="shared" si="3"/>
        <v>45352</v>
      </c>
    </row>
    <row r="258" spans="1:9" x14ac:dyDescent="0.25">
      <c r="A258" s="7" t="s">
        <v>346</v>
      </c>
      <c r="B258" s="4">
        <v>45365</v>
      </c>
      <c r="C258" s="3" t="s">
        <v>54</v>
      </c>
      <c r="D258" s="3" t="s">
        <v>17</v>
      </c>
      <c r="E258" s="3" t="s">
        <v>68</v>
      </c>
      <c r="F258" s="5">
        <v>631.63</v>
      </c>
      <c r="G258" s="3" t="s">
        <v>24</v>
      </c>
      <c r="H258" s="3" t="s">
        <v>14</v>
      </c>
      <c r="I258" s="8">
        <f t="shared" si="3"/>
        <v>45352</v>
      </c>
    </row>
    <row r="259" spans="1:9" x14ac:dyDescent="0.25">
      <c r="A259" s="7" t="s">
        <v>347</v>
      </c>
      <c r="B259" s="4">
        <v>45366</v>
      </c>
      <c r="C259" s="3" t="s">
        <v>39</v>
      </c>
      <c r="D259" s="3" t="s">
        <v>22</v>
      </c>
      <c r="E259" s="3" t="s">
        <v>175</v>
      </c>
      <c r="F259" s="5">
        <v>1407.24</v>
      </c>
      <c r="G259" s="3" t="s">
        <v>27</v>
      </c>
      <c r="H259" s="3" t="s">
        <v>20</v>
      </c>
      <c r="I259" s="8">
        <f t="shared" si="3"/>
        <v>45352</v>
      </c>
    </row>
    <row r="260" spans="1:9" x14ac:dyDescent="0.25">
      <c r="A260" s="7" t="s">
        <v>348</v>
      </c>
      <c r="B260" s="4">
        <v>45366</v>
      </c>
      <c r="C260" s="3" t="s">
        <v>10</v>
      </c>
      <c r="D260" s="3" t="s">
        <v>50</v>
      </c>
      <c r="E260" s="3" t="s">
        <v>166</v>
      </c>
      <c r="F260" s="5">
        <v>5.48</v>
      </c>
      <c r="G260" s="3" t="s">
        <v>24</v>
      </c>
      <c r="H260" s="3" t="s">
        <v>20</v>
      </c>
      <c r="I260" s="8">
        <f t="shared" si="3"/>
        <v>45352</v>
      </c>
    </row>
    <row r="261" spans="1:9" x14ac:dyDescent="0.25">
      <c r="A261" s="7" t="s">
        <v>349</v>
      </c>
      <c r="B261" s="4">
        <v>45367</v>
      </c>
      <c r="C261" s="3" t="s">
        <v>22</v>
      </c>
      <c r="D261" s="3" t="s">
        <v>82</v>
      </c>
      <c r="E261" s="3" t="s">
        <v>227</v>
      </c>
      <c r="F261" s="5">
        <v>2132.0300000000002</v>
      </c>
      <c r="G261" s="3" t="s">
        <v>27</v>
      </c>
      <c r="H261" s="3" t="s">
        <v>14</v>
      </c>
      <c r="I261" s="8">
        <f t="shared" ref="I261:I324" si="4">DATE(YEAR(B261),MONTH(B261),1)</f>
        <v>45352</v>
      </c>
    </row>
    <row r="262" spans="1:9" x14ac:dyDescent="0.25">
      <c r="A262" s="7" t="s">
        <v>350</v>
      </c>
      <c r="B262" s="4">
        <v>45367</v>
      </c>
      <c r="C262" s="3" t="s">
        <v>33</v>
      </c>
      <c r="D262" s="3" t="s">
        <v>30</v>
      </c>
      <c r="E262" s="3" t="s">
        <v>169</v>
      </c>
      <c r="F262" s="5">
        <v>55.38</v>
      </c>
      <c r="G262" s="3" t="s">
        <v>19</v>
      </c>
      <c r="H262" s="3" t="s">
        <v>20</v>
      </c>
      <c r="I262" s="8">
        <f t="shared" si="4"/>
        <v>45352</v>
      </c>
    </row>
    <row r="263" spans="1:9" x14ac:dyDescent="0.25">
      <c r="A263" s="7" t="s">
        <v>351</v>
      </c>
      <c r="B263" s="4">
        <v>45367</v>
      </c>
      <c r="C263" s="3" t="s">
        <v>29</v>
      </c>
      <c r="D263" s="3" t="s">
        <v>50</v>
      </c>
      <c r="E263" s="3" t="s">
        <v>166</v>
      </c>
      <c r="F263" s="5">
        <v>80.17</v>
      </c>
      <c r="G263" s="3" t="s">
        <v>24</v>
      </c>
      <c r="H263" s="3" t="s">
        <v>14</v>
      </c>
      <c r="I263" s="8">
        <f t="shared" si="4"/>
        <v>45352</v>
      </c>
    </row>
    <row r="264" spans="1:9" x14ac:dyDescent="0.25">
      <c r="A264" s="7" t="s">
        <v>352</v>
      </c>
      <c r="B264" s="4">
        <v>45368</v>
      </c>
      <c r="C264" s="3" t="s">
        <v>29</v>
      </c>
      <c r="D264" s="3" t="s">
        <v>50</v>
      </c>
      <c r="E264" s="3" t="s">
        <v>51</v>
      </c>
      <c r="F264" s="5">
        <v>118.15</v>
      </c>
      <c r="G264" s="3" t="s">
        <v>52</v>
      </c>
      <c r="H264" s="3" t="s">
        <v>20</v>
      </c>
      <c r="I264" s="8">
        <f t="shared" si="4"/>
        <v>45352</v>
      </c>
    </row>
    <row r="265" spans="1:9" x14ac:dyDescent="0.25">
      <c r="A265" s="7" t="s">
        <v>353</v>
      </c>
      <c r="B265" s="4">
        <v>45368</v>
      </c>
      <c r="C265" s="3" t="s">
        <v>39</v>
      </c>
      <c r="D265" s="3" t="s">
        <v>50</v>
      </c>
      <c r="E265" s="3" t="s">
        <v>51</v>
      </c>
      <c r="F265" s="5">
        <v>84.49</v>
      </c>
      <c r="G265" s="3" t="s">
        <v>52</v>
      </c>
      <c r="H265" s="3" t="s">
        <v>20</v>
      </c>
      <c r="I265" s="8">
        <f t="shared" si="4"/>
        <v>45352</v>
      </c>
    </row>
    <row r="266" spans="1:9" x14ac:dyDescent="0.25">
      <c r="A266" s="7" t="s">
        <v>354</v>
      </c>
      <c r="B266" s="4">
        <v>45368</v>
      </c>
      <c r="C266" s="3" t="s">
        <v>49</v>
      </c>
      <c r="D266" s="3" t="s">
        <v>50</v>
      </c>
      <c r="E266" s="3" t="s">
        <v>70</v>
      </c>
      <c r="F266" s="5">
        <v>95.9</v>
      </c>
      <c r="G266" s="3" t="s">
        <v>52</v>
      </c>
      <c r="H266" s="3" t="s">
        <v>14</v>
      </c>
      <c r="I266" s="8">
        <f t="shared" si="4"/>
        <v>45352</v>
      </c>
    </row>
    <row r="267" spans="1:9" x14ac:dyDescent="0.25">
      <c r="A267" s="7" t="s">
        <v>355</v>
      </c>
      <c r="B267" s="4">
        <v>45368</v>
      </c>
      <c r="C267" s="3" t="s">
        <v>39</v>
      </c>
      <c r="D267" s="3" t="s">
        <v>46</v>
      </c>
      <c r="E267" s="3" t="s">
        <v>187</v>
      </c>
      <c r="F267" s="5">
        <v>231.74</v>
      </c>
      <c r="G267" s="3" t="s">
        <v>13</v>
      </c>
      <c r="H267" s="3" t="s">
        <v>14</v>
      </c>
      <c r="I267" s="8">
        <f t="shared" si="4"/>
        <v>45352</v>
      </c>
    </row>
    <row r="268" spans="1:9" x14ac:dyDescent="0.25">
      <c r="A268" s="7" t="s">
        <v>356</v>
      </c>
      <c r="B268" s="4">
        <v>45368</v>
      </c>
      <c r="C268" s="3" t="s">
        <v>22</v>
      </c>
      <c r="D268" s="3" t="s">
        <v>17</v>
      </c>
      <c r="E268" s="3" t="s">
        <v>197</v>
      </c>
      <c r="F268" s="5">
        <v>323.20999999999998</v>
      </c>
      <c r="G268" s="3" t="s">
        <v>19</v>
      </c>
      <c r="H268" s="3" t="s">
        <v>20</v>
      </c>
      <c r="I268" s="8">
        <f t="shared" si="4"/>
        <v>45352</v>
      </c>
    </row>
    <row r="269" spans="1:9" x14ac:dyDescent="0.25">
      <c r="A269" s="7" t="s">
        <v>357</v>
      </c>
      <c r="B269" s="4">
        <v>45368</v>
      </c>
      <c r="C269" s="3" t="s">
        <v>49</v>
      </c>
      <c r="D269" s="3" t="s">
        <v>114</v>
      </c>
      <c r="E269" s="3" t="s">
        <v>157</v>
      </c>
      <c r="F269" s="5">
        <v>959.16</v>
      </c>
      <c r="G269" s="3" t="s">
        <v>19</v>
      </c>
      <c r="H269" s="3" t="s">
        <v>14</v>
      </c>
      <c r="I269" s="8">
        <f t="shared" si="4"/>
        <v>45352</v>
      </c>
    </row>
    <row r="270" spans="1:9" x14ac:dyDescent="0.25">
      <c r="A270" s="7" t="s">
        <v>358</v>
      </c>
      <c r="B270" s="4">
        <v>45369</v>
      </c>
      <c r="C270" s="3" t="s">
        <v>29</v>
      </c>
      <c r="D270" s="3" t="s">
        <v>50</v>
      </c>
      <c r="E270" s="3" t="s">
        <v>70</v>
      </c>
      <c r="F270" s="5">
        <v>31.55</v>
      </c>
      <c r="G270" s="3" t="s">
        <v>52</v>
      </c>
      <c r="H270" s="3" t="s">
        <v>14</v>
      </c>
      <c r="I270" s="8">
        <f t="shared" si="4"/>
        <v>45352</v>
      </c>
    </row>
    <row r="271" spans="1:9" x14ac:dyDescent="0.25">
      <c r="A271" s="7" t="s">
        <v>359</v>
      </c>
      <c r="B271" s="4">
        <v>45369</v>
      </c>
      <c r="C271" s="3" t="s">
        <v>10</v>
      </c>
      <c r="D271" s="3" t="s">
        <v>50</v>
      </c>
      <c r="E271" s="3" t="s">
        <v>70</v>
      </c>
      <c r="F271" s="5">
        <v>54.23</v>
      </c>
      <c r="G271" s="3" t="s">
        <v>24</v>
      </c>
      <c r="H271" s="3" t="s">
        <v>14</v>
      </c>
      <c r="I271" s="8">
        <f t="shared" si="4"/>
        <v>45352</v>
      </c>
    </row>
    <row r="272" spans="1:9" x14ac:dyDescent="0.25">
      <c r="A272" s="7" t="s">
        <v>360</v>
      </c>
      <c r="B272" s="4">
        <v>45369</v>
      </c>
      <c r="C272" s="3" t="s">
        <v>54</v>
      </c>
      <c r="D272" s="3" t="s">
        <v>114</v>
      </c>
      <c r="E272" s="3" t="s">
        <v>117</v>
      </c>
      <c r="F272" s="5">
        <v>1039.48</v>
      </c>
      <c r="G272" s="3" t="s">
        <v>19</v>
      </c>
      <c r="H272" s="3" t="s">
        <v>14</v>
      </c>
      <c r="I272" s="8">
        <f t="shared" si="4"/>
        <v>45352</v>
      </c>
    </row>
    <row r="273" spans="1:9" x14ac:dyDescent="0.25">
      <c r="A273" s="7" t="s">
        <v>361</v>
      </c>
      <c r="B273" s="4">
        <v>45369</v>
      </c>
      <c r="C273" s="3" t="s">
        <v>29</v>
      </c>
      <c r="D273" s="3" t="s">
        <v>22</v>
      </c>
      <c r="E273" s="3" t="s">
        <v>175</v>
      </c>
      <c r="F273" s="5">
        <v>905.18</v>
      </c>
      <c r="G273" s="3" t="s">
        <v>27</v>
      </c>
      <c r="H273" s="3" t="s">
        <v>14</v>
      </c>
      <c r="I273" s="8">
        <f t="shared" si="4"/>
        <v>45352</v>
      </c>
    </row>
    <row r="274" spans="1:9" x14ac:dyDescent="0.25">
      <c r="A274" s="7" t="s">
        <v>362</v>
      </c>
      <c r="B274" s="4">
        <v>45369</v>
      </c>
      <c r="C274" s="3" t="s">
        <v>54</v>
      </c>
      <c r="D274" s="3" t="s">
        <v>36</v>
      </c>
      <c r="E274" s="3" t="s">
        <v>150</v>
      </c>
      <c r="F274" s="5">
        <v>103.24</v>
      </c>
      <c r="G274" s="3" t="s">
        <v>27</v>
      </c>
      <c r="H274" s="3" t="s">
        <v>14</v>
      </c>
      <c r="I274" s="8">
        <f t="shared" si="4"/>
        <v>45352</v>
      </c>
    </row>
    <row r="275" spans="1:9" x14ac:dyDescent="0.25">
      <c r="A275" s="7" t="s">
        <v>363</v>
      </c>
      <c r="B275" s="4">
        <v>45369</v>
      </c>
      <c r="C275" s="3" t="s">
        <v>33</v>
      </c>
      <c r="D275" s="3" t="s">
        <v>17</v>
      </c>
      <c r="E275" s="3" t="s">
        <v>68</v>
      </c>
      <c r="F275" s="5">
        <v>1330.66</v>
      </c>
      <c r="G275" s="3" t="s">
        <v>24</v>
      </c>
      <c r="H275" s="3" t="s">
        <v>14</v>
      </c>
      <c r="I275" s="8">
        <f t="shared" si="4"/>
        <v>45352</v>
      </c>
    </row>
    <row r="276" spans="1:9" x14ac:dyDescent="0.25">
      <c r="A276" s="7" t="s">
        <v>364</v>
      </c>
      <c r="B276" s="4">
        <v>45370</v>
      </c>
      <c r="C276" s="3" t="s">
        <v>49</v>
      </c>
      <c r="D276" s="3" t="s">
        <v>43</v>
      </c>
      <c r="E276" s="3" t="s">
        <v>78</v>
      </c>
      <c r="F276" s="5">
        <v>107.9</v>
      </c>
      <c r="G276" s="3" t="s">
        <v>86</v>
      </c>
      <c r="H276" s="3" t="s">
        <v>14</v>
      </c>
      <c r="I276" s="8">
        <f t="shared" si="4"/>
        <v>45352</v>
      </c>
    </row>
    <row r="277" spans="1:9" x14ac:dyDescent="0.25">
      <c r="A277" s="7" t="s">
        <v>365</v>
      </c>
      <c r="B277" s="4">
        <v>45370</v>
      </c>
      <c r="C277" s="3" t="s">
        <v>54</v>
      </c>
      <c r="D277" s="3" t="s">
        <v>50</v>
      </c>
      <c r="E277" s="3" t="s">
        <v>51</v>
      </c>
      <c r="F277" s="5">
        <v>56.75</v>
      </c>
      <c r="G277" s="3" t="s">
        <v>24</v>
      </c>
      <c r="H277" s="3" t="s">
        <v>20</v>
      </c>
      <c r="I277" s="8">
        <f t="shared" si="4"/>
        <v>45352</v>
      </c>
    </row>
    <row r="278" spans="1:9" x14ac:dyDescent="0.25">
      <c r="A278" s="7" t="s">
        <v>366</v>
      </c>
      <c r="B278" s="4">
        <v>45370</v>
      </c>
      <c r="C278" s="3" t="s">
        <v>10</v>
      </c>
      <c r="D278" s="3" t="s">
        <v>40</v>
      </c>
      <c r="E278" s="3" t="s">
        <v>148</v>
      </c>
      <c r="F278" s="5">
        <v>174.94</v>
      </c>
      <c r="G278" s="3" t="s">
        <v>27</v>
      </c>
      <c r="H278" s="3" t="s">
        <v>20</v>
      </c>
      <c r="I278" s="8">
        <f t="shared" si="4"/>
        <v>45352</v>
      </c>
    </row>
    <row r="279" spans="1:9" x14ac:dyDescent="0.25">
      <c r="A279" s="7" t="s">
        <v>367</v>
      </c>
      <c r="B279" s="4">
        <v>45370</v>
      </c>
      <c r="C279" s="3" t="s">
        <v>33</v>
      </c>
      <c r="D279" s="3" t="s">
        <v>17</v>
      </c>
      <c r="E279" s="3" t="s">
        <v>171</v>
      </c>
      <c r="F279" s="5">
        <v>315.94</v>
      </c>
      <c r="G279" s="3" t="s">
        <v>24</v>
      </c>
      <c r="H279" s="3" t="s">
        <v>14</v>
      </c>
      <c r="I279" s="8">
        <f t="shared" si="4"/>
        <v>45352</v>
      </c>
    </row>
    <row r="280" spans="1:9" x14ac:dyDescent="0.25">
      <c r="A280" s="7" t="s">
        <v>368</v>
      </c>
      <c r="B280" s="4">
        <v>45370</v>
      </c>
      <c r="C280" s="3" t="s">
        <v>16</v>
      </c>
      <c r="D280" s="3" t="s">
        <v>114</v>
      </c>
      <c r="E280" s="3" t="s">
        <v>157</v>
      </c>
      <c r="F280" s="5">
        <v>499.75</v>
      </c>
      <c r="G280" s="3" t="s">
        <v>24</v>
      </c>
      <c r="H280" s="3" t="s">
        <v>14</v>
      </c>
      <c r="I280" s="8">
        <f t="shared" si="4"/>
        <v>45352</v>
      </c>
    </row>
    <row r="281" spans="1:9" x14ac:dyDescent="0.25">
      <c r="A281" s="7" t="s">
        <v>369</v>
      </c>
      <c r="B281" s="4">
        <v>45370</v>
      </c>
      <c r="C281" s="3" t="s">
        <v>10</v>
      </c>
      <c r="D281" s="3" t="s">
        <v>50</v>
      </c>
      <c r="E281" s="3" t="s">
        <v>166</v>
      </c>
      <c r="F281" s="5">
        <v>115.84</v>
      </c>
      <c r="G281" s="3" t="s">
        <v>24</v>
      </c>
      <c r="H281" s="3" t="s">
        <v>14</v>
      </c>
      <c r="I281" s="8">
        <f t="shared" si="4"/>
        <v>45352</v>
      </c>
    </row>
    <row r="282" spans="1:9" x14ac:dyDescent="0.25">
      <c r="A282" s="7" t="s">
        <v>370</v>
      </c>
      <c r="B282" s="4">
        <v>45371</v>
      </c>
      <c r="C282" s="3" t="s">
        <v>54</v>
      </c>
      <c r="D282" s="3" t="s">
        <v>17</v>
      </c>
      <c r="E282" s="3" t="s">
        <v>154</v>
      </c>
      <c r="F282" s="5">
        <v>829.37</v>
      </c>
      <c r="G282" s="3" t="s">
        <v>19</v>
      </c>
      <c r="H282" s="3" t="s">
        <v>14</v>
      </c>
      <c r="I282" s="8">
        <f t="shared" si="4"/>
        <v>45352</v>
      </c>
    </row>
    <row r="283" spans="1:9" x14ac:dyDescent="0.25">
      <c r="A283" s="7" t="s">
        <v>371</v>
      </c>
      <c r="B283" s="4">
        <v>45371</v>
      </c>
      <c r="C283" s="3" t="s">
        <v>49</v>
      </c>
      <c r="D283" s="3" t="s">
        <v>55</v>
      </c>
      <c r="E283" s="3" t="s">
        <v>142</v>
      </c>
      <c r="F283" s="5">
        <v>731.23</v>
      </c>
      <c r="G283" s="3" t="s">
        <v>27</v>
      </c>
      <c r="H283" s="3" t="s">
        <v>14</v>
      </c>
      <c r="I283" s="8">
        <f t="shared" si="4"/>
        <v>45352</v>
      </c>
    </row>
    <row r="284" spans="1:9" x14ac:dyDescent="0.25">
      <c r="A284" s="7" t="s">
        <v>372</v>
      </c>
      <c r="B284" s="4">
        <v>45371</v>
      </c>
      <c r="C284" s="3" t="s">
        <v>16</v>
      </c>
      <c r="D284" s="3" t="s">
        <v>55</v>
      </c>
      <c r="E284" s="3" t="s">
        <v>142</v>
      </c>
      <c r="F284" s="5">
        <v>1428.86</v>
      </c>
      <c r="G284" s="3" t="s">
        <v>19</v>
      </c>
      <c r="H284" s="3" t="s">
        <v>14</v>
      </c>
      <c r="I284" s="8">
        <f t="shared" si="4"/>
        <v>45352</v>
      </c>
    </row>
    <row r="285" spans="1:9" x14ac:dyDescent="0.25">
      <c r="A285" s="7" t="s">
        <v>373</v>
      </c>
      <c r="B285" s="4">
        <v>45372</v>
      </c>
      <c r="C285" s="3" t="s">
        <v>39</v>
      </c>
      <c r="D285" s="3" t="s">
        <v>40</v>
      </c>
      <c r="E285" s="3" t="s">
        <v>138</v>
      </c>
      <c r="F285" s="5">
        <v>76.83</v>
      </c>
      <c r="G285" s="3" t="s">
        <v>19</v>
      </c>
      <c r="H285" s="3" t="s">
        <v>20</v>
      </c>
      <c r="I285" s="8">
        <f t="shared" si="4"/>
        <v>45352</v>
      </c>
    </row>
    <row r="286" spans="1:9" x14ac:dyDescent="0.25">
      <c r="A286" s="7" t="s">
        <v>374</v>
      </c>
      <c r="B286" s="4">
        <v>45373</v>
      </c>
      <c r="C286" s="3" t="s">
        <v>39</v>
      </c>
      <c r="D286" s="3" t="s">
        <v>36</v>
      </c>
      <c r="E286" s="3" t="s">
        <v>145</v>
      </c>
      <c r="F286" s="5">
        <v>112.34</v>
      </c>
      <c r="G286" s="3" t="s">
        <v>27</v>
      </c>
      <c r="H286" s="3" t="s">
        <v>14</v>
      </c>
      <c r="I286" s="8">
        <f t="shared" si="4"/>
        <v>45352</v>
      </c>
    </row>
    <row r="287" spans="1:9" x14ac:dyDescent="0.25">
      <c r="A287" s="7" t="s">
        <v>375</v>
      </c>
      <c r="B287" s="4">
        <v>45373</v>
      </c>
      <c r="C287" s="3" t="s">
        <v>29</v>
      </c>
      <c r="D287" s="3" t="s">
        <v>50</v>
      </c>
      <c r="E287" s="3" t="s">
        <v>166</v>
      </c>
      <c r="F287" s="5">
        <v>134.58000000000001</v>
      </c>
      <c r="G287" s="3" t="s">
        <v>52</v>
      </c>
      <c r="H287" s="3" t="s">
        <v>14</v>
      </c>
      <c r="I287" s="8">
        <f t="shared" si="4"/>
        <v>45352</v>
      </c>
    </row>
    <row r="288" spans="1:9" x14ac:dyDescent="0.25">
      <c r="A288" s="7" t="s">
        <v>376</v>
      </c>
      <c r="B288" s="4">
        <v>45373</v>
      </c>
      <c r="C288" s="3" t="s">
        <v>49</v>
      </c>
      <c r="D288" s="3" t="s">
        <v>40</v>
      </c>
      <c r="E288" s="3" t="s">
        <v>105</v>
      </c>
      <c r="F288" s="5">
        <v>692.14</v>
      </c>
      <c r="G288" s="3" t="s">
        <v>19</v>
      </c>
      <c r="H288" s="3" t="s">
        <v>14</v>
      </c>
      <c r="I288" s="8">
        <f t="shared" si="4"/>
        <v>45352</v>
      </c>
    </row>
    <row r="289" spans="1:9" x14ac:dyDescent="0.25">
      <c r="A289" s="7" t="s">
        <v>377</v>
      </c>
      <c r="B289" s="4">
        <v>45373</v>
      </c>
      <c r="C289" s="3" t="s">
        <v>54</v>
      </c>
      <c r="D289" s="3" t="s">
        <v>17</v>
      </c>
      <c r="E289" s="3" t="s">
        <v>68</v>
      </c>
      <c r="F289" s="5">
        <v>1012.06</v>
      </c>
      <c r="G289" s="3" t="s">
        <v>19</v>
      </c>
      <c r="H289" s="3" t="s">
        <v>14</v>
      </c>
      <c r="I289" s="8">
        <f t="shared" si="4"/>
        <v>45352</v>
      </c>
    </row>
    <row r="290" spans="1:9" x14ac:dyDescent="0.25">
      <c r="A290" s="7" t="s">
        <v>378</v>
      </c>
      <c r="B290" s="4">
        <v>45373</v>
      </c>
      <c r="C290" s="3" t="s">
        <v>33</v>
      </c>
      <c r="D290" s="3" t="s">
        <v>17</v>
      </c>
      <c r="E290" s="3" t="s">
        <v>80</v>
      </c>
      <c r="F290" s="5">
        <v>489.54</v>
      </c>
      <c r="G290" s="3" t="s">
        <v>19</v>
      </c>
      <c r="H290" s="3" t="s">
        <v>14</v>
      </c>
      <c r="I290" s="8">
        <f t="shared" si="4"/>
        <v>45352</v>
      </c>
    </row>
    <row r="291" spans="1:9" x14ac:dyDescent="0.25">
      <c r="A291" s="7" t="s">
        <v>379</v>
      </c>
      <c r="B291" s="4">
        <v>45374</v>
      </c>
      <c r="C291" s="3" t="s">
        <v>16</v>
      </c>
      <c r="D291" s="3" t="s">
        <v>30</v>
      </c>
      <c r="E291" s="3" t="s">
        <v>34</v>
      </c>
      <c r="F291" s="5">
        <v>298.97000000000003</v>
      </c>
      <c r="G291" s="3" t="s">
        <v>52</v>
      </c>
      <c r="H291" s="3" t="s">
        <v>14</v>
      </c>
      <c r="I291" s="8">
        <f t="shared" si="4"/>
        <v>45352</v>
      </c>
    </row>
    <row r="292" spans="1:9" x14ac:dyDescent="0.25">
      <c r="A292" s="7" t="s">
        <v>380</v>
      </c>
      <c r="B292" s="4">
        <v>45374</v>
      </c>
      <c r="C292" s="3" t="s">
        <v>29</v>
      </c>
      <c r="D292" s="3" t="s">
        <v>50</v>
      </c>
      <c r="E292" s="3" t="s">
        <v>62</v>
      </c>
      <c r="F292" s="5">
        <v>96.29</v>
      </c>
      <c r="G292" s="3" t="s">
        <v>52</v>
      </c>
      <c r="H292" s="3" t="s">
        <v>20</v>
      </c>
      <c r="I292" s="8">
        <f t="shared" si="4"/>
        <v>45352</v>
      </c>
    </row>
    <row r="293" spans="1:9" x14ac:dyDescent="0.25">
      <c r="A293" s="7" t="s">
        <v>381</v>
      </c>
      <c r="B293" s="4">
        <v>45374</v>
      </c>
      <c r="C293" s="3" t="s">
        <v>22</v>
      </c>
      <c r="D293" s="3" t="s">
        <v>22</v>
      </c>
      <c r="E293" s="3" t="s">
        <v>75</v>
      </c>
      <c r="F293" s="5">
        <v>1081.68</v>
      </c>
      <c r="G293" s="3" t="s">
        <v>19</v>
      </c>
      <c r="H293" s="3" t="s">
        <v>14</v>
      </c>
      <c r="I293" s="8">
        <f t="shared" si="4"/>
        <v>45352</v>
      </c>
    </row>
    <row r="294" spans="1:9" x14ac:dyDescent="0.25">
      <c r="A294" s="7" t="s">
        <v>382</v>
      </c>
      <c r="B294" s="4">
        <v>45374</v>
      </c>
      <c r="C294" s="3" t="s">
        <v>16</v>
      </c>
      <c r="D294" s="3" t="s">
        <v>22</v>
      </c>
      <c r="E294" s="3" t="s">
        <v>175</v>
      </c>
      <c r="F294" s="5">
        <v>867.79</v>
      </c>
      <c r="G294" s="3" t="s">
        <v>27</v>
      </c>
      <c r="H294" s="3" t="s">
        <v>20</v>
      </c>
      <c r="I294" s="8">
        <f t="shared" si="4"/>
        <v>45352</v>
      </c>
    </row>
    <row r="295" spans="1:9" x14ac:dyDescent="0.25">
      <c r="A295" s="7" t="s">
        <v>383</v>
      </c>
      <c r="B295" s="4">
        <v>45374</v>
      </c>
      <c r="C295" s="3" t="s">
        <v>22</v>
      </c>
      <c r="D295" s="3" t="s">
        <v>17</v>
      </c>
      <c r="E295" s="3" t="s">
        <v>80</v>
      </c>
      <c r="F295" s="5">
        <v>664.39</v>
      </c>
      <c r="G295" s="3" t="s">
        <v>24</v>
      </c>
      <c r="H295" s="3" t="s">
        <v>14</v>
      </c>
      <c r="I295" s="8">
        <f t="shared" si="4"/>
        <v>45352</v>
      </c>
    </row>
    <row r="296" spans="1:9" x14ac:dyDescent="0.25">
      <c r="A296" s="7" t="s">
        <v>384</v>
      </c>
      <c r="B296" s="4">
        <v>45375</v>
      </c>
      <c r="C296" s="3" t="s">
        <v>16</v>
      </c>
      <c r="D296" s="3" t="s">
        <v>43</v>
      </c>
      <c r="E296" s="3" t="s">
        <v>78</v>
      </c>
      <c r="F296" s="5">
        <v>374.12</v>
      </c>
      <c r="G296" s="3" t="s">
        <v>86</v>
      </c>
      <c r="H296" s="3" t="s">
        <v>14</v>
      </c>
      <c r="I296" s="8">
        <f t="shared" si="4"/>
        <v>45352</v>
      </c>
    </row>
    <row r="297" spans="1:9" x14ac:dyDescent="0.25">
      <c r="A297" s="7" t="s">
        <v>385</v>
      </c>
      <c r="B297" s="4">
        <v>45375</v>
      </c>
      <c r="C297" s="3" t="s">
        <v>39</v>
      </c>
      <c r="D297" s="3" t="s">
        <v>43</v>
      </c>
      <c r="E297" s="3" t="s">
        <v>85</v>
      </c>
      <c r="F297" s="5">
        <v>288.45</v>
      </c>
      <c r="G297" s="3" t="s">
        <v>86</v>
      </c>
      <c r="H297" s="3" t="s">
        <v>20</v>
      </c>
      <c r="I297" s="8">
        <f t="shared" si="4"/>
        <v>45352</v>
      </c>
    </row>
    <row r="298" spans="1:9" x14ac:dyDescent="0.25">
      <c r="A298" s="7" t="s">
        <v>386</v>
      </c>
      <c r="B298" s="4">
        <v>45375</v>
      </c>
      <c r="C298" s="3" t="s">
        <v>39</v>
      </c>
      <c r="D298" s="3" t="s">
        <v>55</v>
      </c>
      <c r="E298" s="3" t="s">
        <v>95</v>
      </c>
      <c r="F298" s="5">
        <v>155.62</v>
      </c>
      <c r="G298" s="3" t="s">
        <v>27</v>
      </c>
      <c r="H298" s="3" t="s">
        <v>14</v>
      </c>
      <c r="I298" s="8">
        <f t="shared" si="4"/>
        <v>45352</v>
      </c>
    </row>
    <row r="299" spans="1:9" x14ac:dyDescent="0.25">
      <c r="A299" s="7" t="s">
        <v>387</v>
      </c>
      <c r="B299" s="4">
        <v>45375</v>
      </c>
      <c r="C299" s="3" t="s">
        <v>10</v>
      </c>
      <c r="D299" s="3" t="s">
        <v>46</v>
      </c>
      <c r="E299" s="3" t="s">
        <v>47</v>
      </c>
      <c r="F299" s="5">
        <v>522.55999999999995</v>
      </c>
      <c r="G299" s="3" t="s">
        <v>13</v>
      </c>
      <c r="H299" s="3" t="s">
        <v>14</v>
      </c>
      <c r="I299" s="8">
        <f t="shared" si="4"/>
        <v>45352</v>
      </c>
    </row>
    <row r="300" spans="1:9" x14ac:dyDescent="0.25">
      <c r="A300" s="7" t="s">
        <v>388</v>
      </c>
      <c r="B300" s="4">
        <v>45376</v>
      </c>
      <c r="C300" s="3" t="s">
        <v>22</v>
      </c>
      <c r="D300" s="3" t="s">
        <v>40</v>
      </c>
      <c r="E300" s="3" t="s">
        <v>130</v>
      </c>
      <c r="F300" s="5">
        <v>777.19</v>
      </c>
      <c r="G300" s="3" t="s">
        <v>19</v>
      </c>
      <c r="H300" s="3" t="s">
        <v>20</v>
      </c>
      <c r="I300" s="8">
        <f t="shared" si="4"/>
        <v>45352</v>
      </c>
    </row>
    <row r="301" spans="1:9" x14ac:dyDescent="0.25">
      <c r="A301" s="7" t="s">
        <v>389</v>
      </c>
      <c r="B301" s="4">
        <v>45377</v>
      </c>
      <c r="C301" s="3" t="s">
        <v>16</v>
      </c>
      <c r="D301" s="3" t="s">
        <v>50</v>
      </c>
      <c r="E301" s="3" t="s">
        <v>62</v>
      </c>
      <c r="F301" s="5">
        <v>120.6</v>
      </c>
      <c r="G301" s="3" t="s">
        <v>52</v>
      </c>
      <c r="H301" s="3" t="s">
        <v>14</v>
      </c>
      <c r="I301" s="8">
        <f t="shared" si="4"/>
        <v>45352</v>
      </c>
    </row>
    <row r="302" spans="1:9" x14ac:dyDescent="0.25">
      <c r="A302" s="7" t="s">
        <v>390</v>
      </c>
      <c r="B302" s="4">
        <v>45377</v>
      </c>
      <c r="C302" s="3" t="s">
        <v>10</v>
      </c>
      <c r="D302" s="3" t="s">
        <v>50</v>
      </c>
      <c r="E302" s="3" t="s">
        <v>166</v>
      </c>
      <c r="F302" s="5">
        <v>7.73</v>
      </c>
      <c r="G302" s="3" t="s">
        <v>52</v>
      </c>
      <c r="H302" s="3" t="s">
        <v>14</v>
      </c>
      <c r="I302" s="8">
        <f t="shared" si="4"/>
        <v>45352</v>
      </c>
    </row>
    <row r="303" spans="1:9" x14ac:dyDescent="0.25">
      <c r="A303" s="7" t="s">
        <v>391</v>
      </c>
      <c r="B303" s="4">
        <v>45378</v>
      </c>
      <c r="C303" s="3" t="s">
        <v>16</v>
      </c>
      <c r="D303" s="3" t="s">
        <v>50</v>
      </c>
      <c r="E303" s="3" t="s">
        <v>70</v>
      </c>
      <c r="F303" s="5">
        <v>60.61</v>
      </c>
      <c r="G303" s="3" t="s">
        <v>24</v>
      </c>
      <c r="H303" s="3" t="s">
        <v>14</v>
      </c>
      <c r="I303" s="8">
        <f t="shared" si="4"/>
        <v>45352</v>
      </c>
    </row>
    <row r="304" spans="1:9" x14ac:dyDescent="0.25">
      <c r="A304" s="7" t="s">
        <v>392</v>
      </c>
      <c r="B304" s="4">
        <v>45378</v>
      </c>
      <c r="C304" s="3" t="s">
        <v>10</v>
      </c>
      <c r="D304" s="3" t="s">
        <v>50</v>
      </c>
      <c r="E304" s="3" t="s">
        <v>70</v>
      </c>
      <c r="F304" s="5">
        <v>10.46</v>
      </c>
      <c r="G304" s="3" t="s">
        <v>24</v>
      </c>
      <c r="H304" s="3" t="s">
        <v>14</v>
      </c>
      <c r="I304" s="8">
        <f t="shared" si="4"/>
        <v>45352</v>
      </c>
    </row>
    <row r="305" spans="1:9" x14ac:dyDescent="0.25">
      <c r="A305" s="7" t="s">
        <v>393</v>
      </c>
      <c r="B305" s="4">
        <v>45378</v>
      </c>
      <c r="C305" s="3" t="s">
        <v>54</v>
      </c>
      <c r="D305" s="3" t="s">
        <v>30</v>
      </c>
      <c r="E305" s="3" t="s">
        <v>214</v>
      </c>
      <c r="F305" s="5">
        <v>305.47000000000003</v>
      </c>
      <c r="G305" s="3" t="s">
        <v>24</v>
      </c>
      <c r="H305" s="3" t="s">
        <v>14</v>
      </c>
      <c r="I305" s="8">
        <f t="shared" si="4"/>
        <v>45352</v>
      </c>
    </row>
    <row r="306" spans="1:9" x14ac:dyDescent="0.25">
      <c r="A306" s="7" t="s">
        <v>394</v>
      </c>
      <c r="B306" s="4">
        <v>45378</v>
      </c>
      <c r="C306" s="3" t="s">
        <v>54</v>
      </c>
      <c r="D306" s="3" t="s">
        <v>50</v>
      </c>
      <c r="E306" s="3" t="s">
        <v>62</v>
      </c>
      <c r="F306" s="5">
        <v>20.350000000000001</v>
      </c>
      <c r="G306" s="3" t="s">
        <v>52</v>
      </c>
      <c r="H306" s="3" t="s">
        <v>20</v>
      </c>
      <c r="I306" s="8">
        <f t="shared" si="4"/>
        <v>45352</v>
      </c>
    </row>
    <row r="307" spans="1:9" x14ac:dyDescent="0.25">
      <c r="A307" s="7" t="s">
        <v>395</v>
      </c>
      <c r="B307" s="4">
        <v>45378</v>
      </c>
      <c r="C307" s="3" t="s">
        <v>22</v>
      </c>
      <c r="D307" s="3" t="s">
        <v>22</v>
      </c>
      <c r="E307" s="3" t="s">
        <v>175</v>
      </c>
      <c r="F307" s="5">
        <v>1814.59</v>
      </c>
      <c r="G307" s="3" t="s">
        <v>19</v>
      </c>
      <c r="H307" s="3" t="s">
        <v>14</v>
      </c>
      <c r="I307" s="8">
        <f t="shared" si="4"/>
        <v>45352</v>
      </c>
    </row>
    <row r="308" spans="1:9" x14ac:dyDescent="0.25">
      <c r="A308" s="7" t="s">
        <v>396</v>
      </c>
      <c r="B308" s="4">
        <v>45378</v>
      </c>
      <c r="C308" s="3" t="s">
        <v>33</v>
      </c>
      <c r="D308" s="3" t="s">
        <v>22</v>
      </c>
      <c r="E308" s="3" t="s">
        <v>26</v>
      </c>
      <c r="F308" s="5">
        <v>692.76</v>
      </c>
      <c r="G308" s="3" t="s">
        <v>27</v>
      </c>
      <c r="H308" s="3" t="s">
        <v>20</v>
      </c>
      <c r="I308" s="8">
        <f t="shared" si="4"/>
        <v>45352</v>
      </c>
    </row>
    <row r="309" spans="1:9" x14ac:dyDescent="0.25">
      <c r="A309" s="7" t="s">
        <v>397</v>
      </c>
      <c r="B309" s="4">
        <v>45378</v>
      </c>
      <c r="C309" s="3" t="s">
        <v>29</v>
      </c>
      <c r="D309" s="3" t="s">
        <v>30</v>
      </c>
      <c r="E309" s="3" t="s">
        <v>65</v>
      </c>
      <c r="F309" s="5">
        <v>168.68</v>
      </c>
      <c r="G309" s="3" t="s">
        <v>19</v>
      </c>
      <c r="H309" s="3" t="s">
        <v>14</v>
      </c>
      <c r="I309" s="8">
        <f t="shared" si="4"/>
        <v>45352</v>
      </c>
    </row>
    <row r="310" spans="1:9" x14ac:dyDescent="0.25">
      <c r="A310" s="7" t="s">
        <v>398</v>
      </c>
      <c r="B310" s="4">
        <v>45378</v>
      </c>
      <c r="C310" s="3" t="s">
        <v>10</v>
      </c>
      <c r="D310" s="3" t="s">
        <v>30</v>
      </c>
      <c r="E310" s="3" t="s">
        <v>31</v>
      </c>
      <c r="F310" s="5">
        <v>341.33</v>
      </c>
      <c r="G310" s="3" t="s">
        <v>52</v>
      </c>
      <c r="H310" s="3" t="s">
        <v>20</v>
      </c>
      <c r="I310" s="8">
        <f t="shared" si="4"/>
        <v>45352</v>
      </c>
    </row>
    <row r="311" spans="1:9" x14ac:dyDescent="0.25">
      <c r="A311" s="7" t="s">
        <v>399</v>
      </c>
      <c r="B311" s="4">
        <v>45379</v>
      </c>
      <c r="C311" s="3" t="s">
        <v>49</v>
      </c>
      <c r="D311" s="3" t="s">
        <v>55</v>
      </c>
      <c r="E311" s="3" t="s">
        <v>400</v>
      </c>
      <c r="F311" s="5">
        <v>1777.79</v>
      </c>
      <c r="G311" s="3" t="s">
        <v>19</v>
      </c>
      <c r="H311" s="3" t="s">
        <v>14</v>
      </c>
      <c r="I311" s="8">
        <f t="shared" si="4"/>
        <v>45352</v>
      </c>
    </row>
    <row r="312" spans="1:9" x14ac:dyDescent="0.25">
      <c r="A312" s="7" t="s">
        <v>401</v>
      </c>
      <c r="B312" s="4">
        <v>45379</v>
      </c>
      <c r="C312" s="3" t="s">
        <v>16</v>
      </c>
      <c r="D312" s="3" t="s">
        <v>50</v>
      </c>
      <c r="E312" s="3" t="s">
        <v>62</v>
      </c>
      <c r="F312" s="5">
        <v>29.05</v>
      </c>
      <c r="G312" s="3" t="s">
        <v>24</v>
      </c>
      <c r="H312" s="3" t="s">
        <v>20</v>
      </c>
      <c r="I312" s="8">
        <f t="shared" si="4"/>
        <v>45352</v>
      </c>
    </row>
    <row r="313" spans="1:9" x14ac:dyDescent="0.25">
      <c r="A313" s="7" t="s">
        <v>402</v>
      </c>
      <c r="B313" s="4">
        <v>45379</v>
      </c>
      <c r="C313" s="3" t="s">
        <v>10</v>
      </c>
      <c r="D313" s="3" t="s">
        <v>30</v>
      </c>
      <c r="E313" s="3" t="s">
        <v>169</v>
      </c>
      <c r="F313" s="5">
        <v>195.25</v>
      </c>
      <c r="G313" s="3" t="s">
        <v>52</v>
      </c>
      <c r="H313" s="3" t="s">
        <v>14</v>
      </c>
      <c r="I313" s="8">
        <f t="shared" si="4"/>
        <v>45352</v>
      </c>
    </row>
    <row r="314" spans="1:9" x14ac:dyDescent="0.25">
      <c r="A314" s="7" t="s">
        <v>403</v>
      </c>
      <c r="B314" s="4">
        <v>45379</v>
      </c>
      <c r="C314" s="3" t="s">
        <v>29</v>
      </c>
      <c r="D314" s="3" t="s">
        <v>22</v>
      </c>
      <c r="E314" s="3" t="s">
        <v>244</v>
      </c>
      <c r="F314" s="5">
        <v>1903.2</v>
      </c>
      <c r="G314" s="3" t="s">
        <v>27</v>
      </c>
      <c r="H314" s="3" t="s">
        <v>14</v>
      </c>
      <c r="I314" s="8">
        <f t="shared" si="4"/>
        <v>45352</v>
      </c>
    </row>
    <row r="315" spans="1:9" x14ac:dyDescent="0.25">
      <c r="A315" s="7" t="s">
        <v>404</v>
      </c>
      <c r="B315" s="4">
        <v>45380</v>
      </c>
      <c r="C315" s="3" t="s">
        <v>29</v>
      </c>
      <c r="D315" s="3" t="s">
        <v>50</v>
      </c>
      <c r="E315" s="3" t="s">
        <v>51</v>
      </c>
      <c r="F315" s="5">
        <v>33.75</v>
      </c>
      <c r="G315" s="3" t="s">
        <v>52</v>
      </c>
      <c r="H315" s="3" t="s">
        <v>14</v>
      </c>
      <c r="I315" s="8">
        <f t="shared" si="4"/>
        <v>45352</v>
      </c>
    </row>
    <row r="316" spans="1:9" x14ac:dyDescent="0.25">
      <c r="A316" s="7" t="s">
        <v>405</v>
      </c>
      <c r="B316" s="4">
        <v>45380</v>
      </c>
      <c r="C316" s="3" t="s">
        <v>16</v>
      </c>
      <c r="D316" s="3" t="s">
        <v>114</v>
      </c>
      <c r="E316" s="3" t="s">
        <v>115</v>
      </c>
      <c r="F316" s="5">
        <v>1117.8399999999999</v>
      </c>
      <c r="G316" s="3" t="s">
        <v>19</v>
      </c>
      <c r="H316" s="3" t="s">
        <v>20</v>
      </c>
      <c r="I316" s="8">
        <f t="shared" si="4"/>
        <v>45352</v>
      </c>
    </row>
    <row r="317" spans="1:9" x14ac:dyDescent="0.25">
      <c r="A317" s="7" t="s">
        <v>406</v>
      </c>
      <c r="B317" s="4">
        <v>45380</v>
      </c>
      <c r="C317" s="3" t="s">
        <v>54</v>
      </c>
      <c r="D317" s="3" t="s">
        <v>50</v>
      </c>
      <c r="E317" s="3" t="s">
        <v>62</v>
      </c>
      <c r="F317" s="5">
        <v>39.26</v>
      </c>
      <c r="G317" s="3" t="s">
        <v>52</v>
      </c>
      <c r="H317" s="3" t="s">
        <v>14</v>
      </c>
      <c r="I317" s="8">
        <f t="shared" si="4"/>
        <v>45352</v>
      </c>
    </row>
    <row r="318" spans="1:9" x14ac:dyDescent="0.25">
      <c r="A318" s="7" t="s">
        <v>407</v>
      </c>
      <c r="B318" s="4">
        <v>45380</v>
      </c>
      <c r="C318" s="3" t="s">
        <v>54</v>
      </c>
      <c r="D318" s="3" t="s">
        <v>17</v>
      </c>
      <c r="E318" s="3" t="s">
        <v>171</v>
      </c>
      <c r="F318" s="5">
        <v>86.13</v>
      </c>
      <c r="G318" s="3" t="s">
        <v>19</v>
      </c>
      <c r="H318" s="3" t="s">
        <v>14</v>
      </c>
      <c r="I318" s="8">
        <f t="shared" si="4"/>
        <v>45352</v>
      </c>
    </row>
    <row r="319" spans="1:9" x14ac:dyDescent="0.25">
      <c r="A319" s="7" t="s">
        <v>408</v>
      </c>
      <c r="B319" s="4">
        <v>45380</v>
      </c>
      <c r="C319" s="3" t="s">
        <v>39</v>
      </c>
      <c r="D319" s="3" t="s">
        <v>17</v>
      </c>
      <c r="E319" s="3" t="s">
        <v>80</v>
      </c>
      <c r="F319" s="5">
        <v>526.33000000000004</v>
      </c>
      <c r="G319" s="3" t="s">
        <v>19</v>
      </c>
      <c r="H319" s="3" t="s">
        <v>14</v>
      </c>
      <c r="I319" s="8">
        <f t="shared" si="4"/>
        <v>45352</v>
      </c>
    </row>
    <row r="320" spans="1:9" x14ac:dyDescent="0.25">
      <c r="A320" s="7" t="s">
        <v>409</v>
      </c>
      <c r="B320" s="4">
        <v>45381</v>
      </c>
      <c r="C320" s="3" t="s">
        <v>10</v>
      </c>
      <c r="D320" s="3" t="s">
        <v>50</v>
      </c>
      <c r="E320" s="3" t="s">
        <v>166</v>
      </c>
      <c r="F320" s="5">
        <v>69.72</v>
      </c>
      <c r="G320" s="3" t="s">
        <v>24</v>
      </c>
      <c r="H320" s="3" t="s">
        <v>14</v>
      </c>
      <c r="I320" s="8">
        <f t="shared" si="4"/>
        <v>45352</v>
      </c>
    </row>
    <row r="321" spans="1:9" x14ac:dyDescent="0.25">
      <c r="A321" s="7" t="s">
        <v>410</v>
      </c>
      <c r="B321" s="4">
        <v>45381</v>
      </c>
      <c r="C321" s="3" t="s">
        <v>54</v>
      </c>
      <c r="D321" s="3" t="s">
        <v>22</v>
      </c>
      <c r="E321" s="3" t="s">
        <v>26</v>
      </c>
      <c r="F321" s="5">
        <v>1649.49</v>
      </c>
      <c r="G321" s="3" t="s">
        <v>27</v>
      </c>
      <c r="H321" s="3" t="s">
        <v>14</v>
      </c>
      <c r="I321" s="8">
        <f t="shared" si="4"/>
        <v>45352</v>
      </c>
    </row>
    <row r="322" spans="1:9" x14ac:dyDescent="0.25">
      <c r="A322" s="7" t="s">
        <v>411</v>
      </c>
      <c r="B322" s="4">
        <v>45382</v>
      </c>
      <c r="C322" s="3" t="s">
        <v>54</v>
      </c>
      <c r="D322" s="3" t="s">
        <v>43</v>
      </c>
      <c r="E322" s="3" t="s">
        <v>78</v>
      </c>
      <c r="F322" s="5">
        <v>172.57</v>
      </c>
      <c r="G322" s="3" t="s">
        <v>13</v>
      </c>
      <c r="H322" s="3" t="s">
        <v>14</v>
      </c>
      <c r="I322" s="8">
        <f t="shared" si="4"/>
        <v>45352</v>
      </c>
    </row>
    <row r="323" spans="1:9" x14ac:dyDescent="0.25">
      <c r="A323" s="7" t="s">
        <v>412</v>
      </c>
      <c r="B323" s="4">
        <v>45382</v>
      </c>
      <c r="C323" s="3" t="s">
        <v>16</v>
      </c>
      <c r="D323" s="3" t="s">
        <v>40</v>
      </c>
      <c r="E323" s="3" t="s">
        <v>182</v>
      </c>
      <c r="F323" s="5">
        <v>684.05</v>
      </c>
      <c r="G323" s="3" t="s">
        <v>19</v>
      </c>
      <c r="H323" s="3" t="s">
        <v>14</v>
      </c>
      <c r="I323" s="8">
        <f t="shared" si="4"/>
        <v>45352</v>
      </c>
    </row>
    <row r="324" spans="1:9" x14ac:dyDescent="0.25">
      <c r="A324" s="7" t="s">
        <v>413</v>
      </c>
      <c r="B324" s="4">
        <v>45382</v>
      </c>
      <c r="C324" s="3" t="s">
        <v>49</v>
      </c>
      <c r="D324" s="3" t="s">
        <v>114</v>
      </c>
      <c r="E324" s="3" t="s">
        <v>199</v>
      </c>
      <c r="F324" s="5">
        <v>424.33</v>
      </c>
      <c r="G324" s="3" t="s">
        <v>24</v>
      </c>
      <c r="H324" s="3" t="s">
        <v>14</v>
      </c>
      <c r="I324" s="8">
        <f t="shared" si="4"/>
        <v>45352</v>
      </c>
    </row>
    <row r="325" spans="1:9" x14ac:dyDescent="0.25">
      <c r="A325" s="7" t="s">
        <v>414</v>
      </c>
      <c r="B325" s="4">
        <v>45382</v>
      </c>
      <c r="C325" s="3" t="s">
        <v>16</v>
      </c>
      <c r="D325" s="3" t="s">
        <v>40</v>
      </c>
      <c r="E325" s="3" t="s">
        <v>41</v>
      </c>
      <c r="F325" s="5">
        <v>880.04</v>
      </c>
      <c r="G325" s="3" t="s">
        <v>19</v>
      </c>
      <c r="H325" s="3" t="s">
        <v>14</v>
      </c>
      <c r="I325" s="8">
        <f t="shared" ref="I325:I388" si="5">DATE(YEAR(B325),MONTH(B325),1)</f>
        <v>45352</v>
      </c>
    </row>
    <row r="326" spans="1:9" x14ac:dyDescent="0.25">
      <c r="A326" s="7" t="s">
        <v>415</v>
      </c>
      <c r="B326" s="4">
        <v>45383</v>
      </c>
      <c r="C326" s="3" t="s">
        <v>33</v>
      </c>
      <c r="D326" s="3" t="s">
        <v>22</v>
      </c>
      <c r="E326" s="3" t="s">
        <v>93</v>
      </c>
      <c r="F326" s="5">
        <v>1651.23</v>
      </c>
      <c r="G326" s="3" t="s">
        <v>19</v>
      </c>
      <c r="H326" s="3" t="s">
        <v>20</v>
      </c>
      <c r="I326" s="8">
        <f t="shared" si="5"/>
        <v>45383</v>
      </c>
    </row>
    <row r="327" spans="1:9" x14ac:dyDescent="0.25">
      <c r="A327" s="7" t="s">
        <v>416</v>
      </c>
      <c r="B327" s="4">
        <v>45383</v>
      </c>
      <c r="C327" s="3" t="s">
        <v>54</v>
      </c>
      <c r="D327" s="3" t="s">
        <v>17</v>
      </c>
      <c r="E327" s="3" t="s">
        <v>197</v>
      </c>
      <c r="F327" s="5">
        <v>1053.71</v>
      </c>
      <c r="G327" s="3" t="s">
        <v>24</v>
      </c>
      <c r="H327" s="3" t="s">
        <v>14</v>
      </c>
      <c r="I327" s="8">
        <f t="shared" si="5"/>
        <v>45383</v>
      </c>
    </row>
    <row r="328" spans="1:9" x14ac:dyDescent="0.25">
      <c r="A328" s="7" t="s">
        <v>417</v>
      </c>
      <c r="B328" s="4">
        <v>45383</v>
      </c>
      <c r="C328" s="3" t="s">
        <v>29</v>
      </c>
      <c r="D328" s="3" t="s">
        <v>11</v>
      </c>
      <c r="E328" s="3" t="s">
        <v>12</v>
      </c>
      <c r="F328" s="5">
        <v>15000</v>
      </c>
      <c r="G328" s="3" t="s">
        <v>13</v>
      </c>
      <c r="H328" s="3" t="s">
        <v>14</v>
      </c>
      <c r="I328" s="8">
        <f t="shared" si="5"/>
        <v>45383</v>
      </c>
    </row>
    <row r="329" spans="1:9" x14ac:dyDescent="0.25">
      <c r="A329" s="7" t="s">
        <v>418</v>
      </c>
      <c r="B329" s="4">
        <v>45383</v>
      </c>
      <c r="C329" s="3" t="s">
        <v>39</v>
      </c>
      <c r="D329" s="3" t="s">
        <v>46</v>
      </c>
      <c r="E329" s="3" t="s">
        <v>47</v>
      </c>
      <c r="F329" s="5">
        <v>497.23</v>
      </c>
      <c r="G329" s="3" t="s">
        <v>13</v>
      </c>
      <c r="H329" s="3" t="s">
        <v>20</v>
      </c>
      <c r="I329" s="8">
        <f t="shared" si="5"/>
        <v>45383</v>
      </c>
    </row>
    <row r="330" spans="1:9" x14ac:dyDescent="0.25">
      <c r="A330" s="7" t="s">
        <v>419</v>
      </c>
      <c r="B330" s="4">
        <v>45384</v>
      </c>
      <c r="C330" s="3" t="s">
        <v>16</v>
      </c>
      <c r="D330" s="3" t="s">
        <v>55</v>
      </c>
      <c r="E330" s="3" t="s">
        <v>162</v>
      </c>
      <c r="F330" s="5">
        <v>942.04</v>
      </c>
      <c r="G330" s="3" t="s">
        <v>27</v>
      </c>
      <c r="H330" s="3" t="s">
        <v>14</v>
      </c>
      <c r="I330" s="8">
        <f t="shared" si="5"/>
        <v>45383</v>
      </c>
    </row>
    <row r="331" spans="1:9" x14ac:dyDescent="0.25">
      <c r="A331" s="7" t="s">
        <v>420</v>
      </c>
      <c r="B331" s="4">
        <v>45384</v>
      </c>
      <c r="C331" s="3" t="s">
        <v>10</v>
      </c>
      <c r="D331" s="3" t="s">
        <v>22</v>
      </c>
      <c r="E331" s="3" t="s">
        <v>93</v>
      </c>
      <c r="F331" s="5">
        <v>2052.5100000000002</v>
      </c>
      <c r="G331" s="3" t="s">
        <v>19</v>
      </c>
      <c r="H331" s="3" t="s">
        <v>14</v>
      </c>
      <c r="I331" s="8">
        <f t="shared" si="5"/>
        <v>45383</v>
      </c>
    </row>
    <row r="332" spans="1:9" x14ac:dyDescent="0.25">
      <c r="A332" s="7" t="s">
        <v>421</v>
      </c>
      <c r="B332" s="4">
        <v>45384</v>
      </c>
      <c r="C332" s="3" t="s">
        <v>16</v>
      </c>
      <c r="D332" s="3" t="s">
        <v>82</v>
      </c>
      <c r="E332" s="3" t="s">
        <v>83</v>
      </c>
      <c r="F332" s="5">
        <v>992.23</v>
      </c>
      <c r="G332" s="3" t="s">
        <v>27</v>
      </c>
      <c r="H332" s="3" t="s">
        <v>20</v>
      </c>
      <c r="I332" s="8">
        <f t="shared" si="5"/>
        <v>45383</v>
      </c>
    </row>
    <row r="333" spans="1:9" x14ac:dyDescent="0.25">
      <c r="A333" s="7" t="s">
        <v>422</v>
      </c>
      <c r="B333" s="4">
        <v>45385</v>
      </c>
      <c r="C333" s="3" t="s">
        <v>49</v>
      </c>
      <c r="D333" s="3" t="s">
        <v>43</v>
      </c>
      <c r="E333" s="3" t="s">
        <v>78</v>
      </c>
      <c r="F333" s="5">
        <v>127.69</v>
      </c>
      <c r="G333" s="3" t="s">
        <v>86</v>
      </c>
      <c r="H333" s="3" t="s">
        <v>20</v>
      </c>
      <c r="I333" s="8">
        <f t="shared" si="5"/>
        <v>45383</v>
      </c>
    </row>
    <row r="334" spans="1:9" x14ac:dyDescent="0.25">
      <c r="A334" s="7" t="s">
        <v>423</v>
      </c>
      <c r="B334" s="4">
        <v>45385</v>
      </c>
      <c r="C334" s="3" t="s">
        <v>16</v>
      </c>
      <c r="D334" s="3" t="s">
        <v>22</v>
      </c>
      <c r="E334" s="3" t="s">
        <v>75</v>
      </c>
      <c r="F334" s="5">
        <v>378.95</v>
      </c>
      <c r="G334" s="3" t="s">
        <v>19</v>
      </c>
      <c r="H334" s="3" t="s">
        <v>14</v>
      </c>
      <c r="I334" s="8">
        <f t="shared" si="5"/>
        <v>45383</v>
      </c>
    </row>
    <row r="335" spans="1:9" x14ac:dyDescent="0.25">
      <c r="A335" s="7" t="s">
        <v>424</v>
      </c>
      <c r="B335" s="4">
        <v>45385</v>
      </c>
      <c r="C335" s="3" t="s">
        <v>16</v>
      </c>
      <c r="D335" s="3" t="s">
        <v>22</v>
      </c>
      <c r="E335" s="3" t="s">
        <v>97</v>
      </c>
      <c r="F335" s="5">
        <v>1252.52</v>
      </c>
      <c r="G335" s="3" t="s">
        <v>19</v>
      </c>
      <c r="H335" s="3" t="s">
        <v>14</v>
      </c>
      <c r="I335" s="8">
        <f t="shared" si="5"/>
        <v>45383</v>
      </c>
    </row>
    <row r="336" spans="1:9" x14ac:dyDescent="0.25">
      <c r="A336" s="7" t="s">
        <v>425</v>
      </c>
      <c r="B336" s="4">
        <v>45385</v>
      </c>
      <c r="C336" s="3" t="s">
        <v>39</v>
      </c>
      <c r="D336" s="3" t="s">
        <v>36</v>
      </c>
      <c r="E336" s="3" t="s">
        <v>238</v>
      </c>
      <c r="F336" s="5">
        <v>89.89</v>
      </c>
      <c r="G336" s="3" t="s">
        <v>19</v>
      </c>
      <c r="H336" s="3" t="s">
        <v>20</v>
      </c>
      <c r="I336" s="8">
        <f t="shared" si="5"/>
        <v>45383</v>
      </c>
    </row>
    <row r="337" spans="1:9" x14ac:dyDescent="0.25">
      <c r="A337" s="7" t="s">
        <v>426</v>
      </c>
      <c r="B337" s="4">
        <v>45385</v>
      </c>
      <c r="C337" s="3" t="s">
        <v>49</v>
      </c>
      <c r="D337" s="3" t="s">
        <v>114</v>
      </c>
      <c r="E337" s="3" t="s">
        <v>199</v>
      </c>
      <c r="F337" s="5">
        <v>899.48</v>
      </c>
      <c r="G337" s="3" t="s">
        <v>24</v>
      </c>
      <c r="H337" s="3" t="s">
        <v>14</v>
      </c>
      <c r="I337" s="8">
        <f t="shared" si="5"/>
        <v>45383</v>
      </c>
    </row>
    <row r="338" spans="1:9" x14ac:dyDescent="0.25">
      <c r="A338" s="7" t="s">
        <v>427</v>
      </c>
      <c r="B338" s="4">
        <v>45386</v>
      </c>
      <c r="C338" s="3" t="s">
        <v>54</v>
      </c>
      <c r="D338" s="3" t="s">
        <v>82</v>
      </c>
      <c r="E338" s="3" t="s">
        <v>227</v>
      </c>
      <c r="F338" s="5">
        <v>1786.2</v>
      </c>
      <c r="G338" s="3" t="s">
        <v>13</v>
      </c>
      <c r="H338" s="3" t="s">
        <v>14</v>
      </c>
      <c r="I338" s="8">
        <f t="shared" si="5"/>
        <v>45383</v>
      </c>
    </row>
    <row r="339" spans="1:9" x14ac:dyDescent="0.25">
      <c r="A339" s="7" t="s">
        <v>428</v>
      </c>
      <c r="B339" s="4">
        <v>45386</v>
      </c>
      <c r="C339" s="3" t="s">
        <v>16</v>
      </c>
      <c r="D339" s="3" t="s">
        <v>114</v>
      </c>
      <c r="E339" s="3" t="s">
        <v>117</v>
      </c>
      <c r="F339" s="5">
        <v>821.26</v>
      </c>
      <c r="G339" s="3" t="s">
        <v>24</v>
      </c>
      <c r="H339" s="3" t="s">
        <v>14</v>
      </c>
      <c r="I339" s="8">
        <f t="shared" si="5"/>
        <v>45383</v>
      </c>
    </row>
    <row r="340" spans="1:9" x14ac:dyDescent="0.25">
      <c r="A340" s="7" t="s">
        <v>429</v>
      </c>
      <c r="B340" s="4">
        <v>45386</v>
      </c>
      <c r="C340" s="3" t="s">
        <v>33</v>
      </c>
      <c r="D340" s="3" t="s">
        <v>40</v>
      </c>
      <c r="E340" s="3" t="s">
        <v>148</v>
      </c>
      <c r="F340" s="5">
        <v>293.62</v>
      </c>
      <c r="G340" s="3" t="s">
        <v>27</v>
      </c>
      <c r="H340" s="3" t="s">
        <v>14</v>
      </c>
      <c r="I340" s="8">
        <f t="shared" si="5"/>
        <v>45383</v>
      </c>
    </row>
    <row r="341" spans="1:9" x14ac:dyDescent="0.25">
      <c r="A341" s="7" t="s">
        <v>430</v>
      </c>
      <c r="B341" s="4">
        <v>45386</v>
      </c>
      <c r="C341" s="3" t="s">
        <v>10</v>
      </c>
      <c r="D341" s="3" t="s">
        <v>17</v>
      </c>
      <c r="E341" s="3" t="s">
        <v>171</v>
      </c>
      <c r="F341" s="5">
        <v>995.6</v>
      </c>
      <c r="G341" s="3" t="s">
        <v>24</v>
      </c>
      <c r="H341" s="3" t="s">
        <v>14</v>
      </c>
      <c r="I341" s="8">
        <f t="shared" si="5"/>
        <v>45383</v>
      </c>
    </row>
    <row r="342" spans="1:9" x14ac:dyDescent="0.25">
      <c r="A342" s="7" t="s">
        <v>431</v>
      </c>
      <c r="B342" s="4">
        <v>45386</v>
      </c>
      <c r="C342" s="3" t="s">
        <v>10</v>
      </c>
      <c r="D342" s="3" t="s">
        <v>114</v>
      </c>
      <c r="E342" s="3" t="s">
        <v>199</v>
      </c>
      <c r="F342" s="5">
        <v>444.13</v>
      </c>
      <c r="G342" s="3" t="s">
        <v>19</v>
      </c>
      <c r="H342" s="3" t="s">
        <v>20</v>
      </c>
      <c r="I342" s="8">
        <f t="shared" si="5"/>
        <v>45383</v>
      </c>
    </row>
    <row r="343" spans="1:9" x14ac:dyDescent="0.25">
      <c r="A343" s="7" t="s">
        <v>432</v>
      </c>
      <c r="B343" s="4">
        <v>45387</v>
      </c>
      <c r="C343" s="3" t="s">
        <v>22</v>
      </c>
      <c r="D343" s="3" t="s">
        <v>50</v>
      </c>
      <c r="E343" s="3" t="s">
        <v>51</v>
      </c>
      <c r="F343" s="5">
        <v>128.69</v>
      </c>
      <c r="G343" s="3" t="s">
        <v>52</v>
      </c>
      <c r="H343" s="3" t="s">
        <v>14</v>
      </c>
      <c r="I343" s="8">
        <f t="shared" si="5"/>
        <v>45383</v>
      </c>
    </row>
    <row r="344" spans="1:9" x14ac:dyDescent="0.25">
      <c r="A344" s="7" t="s">
        <v>433</v>
      </c>
      <c r="B344" s="4">
        <v>45387</v>
      </c>
      <c r="C344" s="3" t="s">
        <v>39</v>
      </c>
      <c r="D344" s="3" t="s">
        <v>50</v>
      </c>
      <c r="E344" s="3" t="s">
        <v>51</v>
      </c>
      <c r="F344" s="5">
        <v>79.989999999999995</v>
      </c>
      <c r="G344" s="3" t="s">
        <v>52</v>
      </c>
      <c r="H344" s="3" t="s">
        <v>14</v>
      </c>
      <c r="I344" s="8">
        <f t="shared" si="5"/>
        <v>45383</v>
      </c>
    </row>
    <row r="345" spans="1:9" x14ac:dyDescent="0.25">
      <c r="A345" s="7" t="s">
        <v>434</v>
      </c>
      <c r="B345" s="4">
        <v>45387</v>
      </c>
      <c r="C345" s="3" t="s">
        <v>49</v>
      </c>
      <c r="D345" s="3" t="s">
        <v>55</v>
      </c>
      <c r="E345" s="3" t="s">
        <v>142</v>
      </c>
      <c r="F345" s="5">
        <v>1036.06</v>
      </c>
      <c r="G345" s="3" t="s">
        <v>27</v>
      </c>
      <c r="H345" s="3" t="s">
        <v>20</v>
      </c>
      <c r="I345" s="8">
        <f t="shared" si="5"/>
        <v>45383</v>
      </c>
    </row>
    <row r="346" spans="1:9" x14ac:dyDescent="0.25">
      <c r="A346" s="7" t="s">
        <v>435</v>
      </c>
      <c r="B346" s="4">
        <v>45387</v>
      </c>
      <c r="C346" s="3" t="s">
        <v>29</v>
      </c>
      <c r="D346" s="3" t="s">
        <v>82</v>
      </c>
      <c r="E346" s="3" t="s">
        <v>83</v>
      </c>
      <c r="F346" s="5">
        <v>1758.15</v>
      </c>
      <c r="G346" s="3" t="s">
        <v>13</v>
      </c>
      <c r="H346" s="3" t="s">
        <v>14</v>
      </c>
      <c r="I346" s="8">
        <f t="shared" si="5"/>
        <v>45383</v>
      </c>
    </row>
    <row r="347" spans="1:9" x14ac:dyDescent="0.25">
      <c r="A347" s="7" t="s">
        <v>436</v>
      </c>
      <c r="B347" s="4">
        <v>45387</v>
      </c>
      <c r="C347" s="3" t="s">
        <v>16</v>
      </c>
      <c r="D347" s="3" t="s">
        <v>40</v>
      </c>
      <c r="E347" s="3" t="s">
        <v>58</v>
      </c>
      <c r="F347" s="5">
        <v>513.85</v>
      </c>
      <c r="G347" s="3" t="s">
        <v>27</v>
      </c>
      <c r="H347" s="3" t="s">
        <v>14</v>
      </c>
      <c r="I347" s="8">
        <f t="shared" si="5"/>
        <v>45383</v>
      </c>
    </row>
    <row r="348" spans="1:9" x14ac:dyDescent="0.25">
      <c r="A348" s="7" t="s">
        <v>437</v>
      </c>
      <c r="B348" s="4">
        <v>45388</v>
      </c>
      <c r="C348" s="3" t="s">
        <v>10</v>
      </c>
      <c r="D348" s="3" t="s">
        <v>50</v>
      </c>
      <c r="E348" s="3" t="s">
        <v>70</v>
      </c>
      <c r="F348" s="5">
        <v>51</v>
      </c>
      <c r="G348" s="3" t="s">
        <v>24</v>
      </c>
      <c r="H348" s="3" t="s">
        <v>14</v>
      </c>
      <c r="I348" s="8">
        <f t="shared" si="5"/>
        <v>45383</v>
      </c>
    </row>
    <row r="349" spans="1:9" x14ac:dyDescent="0.25">
      <c r="A349" s="7" t="s">
        <v>438</v>
      </c>
      <c r="B349" s="4">
        <v>45388</v>
      </c>
      <c r="C349" s="3" t="s">
        <v>33</v>
      </c>
      <c r="D349" s="3" t="s">
        <v>50</v>
      </c>
      <c r="E349" s="3" t="s">
        <v>62</v>
      </c>
      <c r="F349" s="5">
        <v>80.400000000000006</v>
      </c>
      <c r="G349" s="3" t="s">
        <v>24</v>
      </c>
      <c r="H349" s="3" t="s">
        <v>14</v>
      </c>
      <c r="I349" s="8">
        <f t="shared" si="5"/>
        <v>45383</v>
      </c>
    </row>
    <row r="350" spans="1:9" x14ac:dyDescent="0.25">
      <c r="A350" s="7" t="s">
        <v>439</v>
      </c>
      <c r="B350" s="4">
        <v>45388</v>
      </c>
      <c r="C350" s="3" t="s">
        <v>33</v>
      </c>
      <c r="D350" s="3" t="s">
        <v>40</v>
      </c>
      <c r="E350" s="3" t="s">
        <v>148</v>
      </c>
      <c r="F350" s="5">
        <v>535.24</v>
      </c>
      <c r="G350" s="3" t="s">
        <v>27</v>
      </c>
      <c r="H350" s="3" t="s">
        <v>14</v>
      </c>
      <c r="I350" s="8">
        <f t="shared" si="5"/>
        <v>45383</v>
      </c>
    </row>
    <row r="351" spans="1:9" x14ac:dyDescent="0.25">
      <c r="A351" s="7" t="s">
        <v>440</v>
      </c>
      <c r="B351" s="4">
        <v>45388</v>
      </c>
      <c r="C351" s="3" t="s">
        <v>49</v>
      </c>
      <c r="D351" s="3" t="s">
        <v>46</v>
      </c>
      <c r="E351" s="3" t="s">
        <v>187</v>
      </c>
      <c r="F351" s="5">
        <v>278.32</v>
      </c>
      <c r="G351" s="3" t="s">
        <v>13</v>
      </c>
      <c r="H351" s="3" t="s">
        <v>14</v>
      </c>
      <c r="I351" s="8">
        <f t="shared" si="5"/>
        <v>45383</v>
      </c>
    </row>
    <row r="352" spans="1:9" x14ac:dyDescent="0.25">
      <c r="A352" s="7" t="s">
        <v>441</v>
      </c>
      <c r="B352" s="4">
        <v>45389</v>
      </c>
      <c r="C352" s="3" t="s">
        <v>22</v>
      </c>
      <c r="D352" s="3" t="s">
        <v>40</v>
      </c>
      <c r="E352" s="3" t="s">
        <v>130</v>
      </c>
      <c r="F352" s="5">
        <v>297.89</v>
      </c>
      <c r="G352" s="3" t="s">
        <v>19</v>
      </c>
      <c r="H352" s="3" t="s">
        <v>20</v>
      </c>
      <c r="I352" s="8">
        <f t="shared" si="5"/>
        <v>45383</v>
      </c>
    </row>
    <row r="353" spans="1:9" x14ac:dyDescent="0.25">
      <c r="A353" s="7" t="s">
        <v>442</v>
      </c>
      <c r="B353" s="4">
        <v>45389</v>
      </c>
      <c r="C353" s="3" t="s">
        <v>29</v>
      </c>
      <c r="D353" s="3" t="s">
        <v>22</v>
      </c>
      <c r="E353" s="3" t="s">
        <v>75</v>
      </c>
      <c r="F353" s="5">
        <v>502.24</v>
      </c>
      <c r="G353" s="3" t="s">
        <v>27</v>
      </c>
      <c r="H353" s="3" t="s">
        <v>14</v>
      </c>
      <c r="I353" s="8">
        <f t="shared" si="5"/>
        <v>45383</v>
      </c>
    </row>
    <row r="354" spans="1:9" x14ac:dyDescent="0.25">
      <c r="A354" s="7" t="s">
        <v>443</v>
      </c>
      <c r="B354" s="4">
        <v>45389</v>
      </c>
      <c r="C354" s="3" t="s">
        <v>49</v>
      </c>
      <c r="D354" s="3" t="s">
        <v>17</v>
      </c>
      <c r="E354" s="3" t="s">
        <v>197</v>
      </c>
      <c r="F354" s="5">
        <v>693.98</v>
      </c>
      <c r="G354" s="3" t="s">
        <v>19</v>
      </c>
      <c r="H354" s="3" t="s">
        <v>14</v>
      </c>
      <c r="I354" s="8">
        <f t="shared" si="5"/>
        <v>45383</v>
      </c>
    </row>
    <row r="355" spans="1:9" x14ac:dyDescent="0.25">
      <c r="A355" s="7" t="s">
        <v>444</v>
      </c>
      <c r="B355" s="4">
        <v>45389</v>
      </c>
      <c r="C355" s="3" t="s">
        <v>54</v>
      </c>
      <c r="D355" s="3" t="s">
        <v>43</v>
      </c>
      <c r="E355" s="3" t="s">
        <v>85</v>
      </c>
      <c r="F355" s="5">
        <v>85.21</v>
      </c>
      <c r="G355" s="3" t="s">
        <v>13</v>
      </c>
      <c r="H355" s="3" t="s">
        <v>14</v>
      </c>
      <c r="I355" s="8">
        <f t="shared" si="5"/>
        <v>45383</v>
      </c>
    </row>
    <row r="356" spans="1:9" x14ac:dyDescent="0.25">
      <c r="A356" s="7" t="s">
        <v>445</v>
      </c>
      <c r="B356" s="4">
        <v>45390</v>
      </c>
      <c r="C356" s="3" t="s">
        <v>49</v>
      </c>
      <c r="D356" s="3" t="s">
        <v>55</v>
      </c>
      <c r="E356" s="3" t="s">
        <v>400</v>
      </c>
      <c r="F356" s="5">
        <v>685</v>
      </c>
      <c r="G356" s="3" t="s">
        <v>27</v>
      </c>
      <c r="H356" s="3" t="s">
        <v>14</v>
      </c>
      <c r="I356" s="8">
        <f t="shared" si="5"/>
        <v>45383</v>
      </c>
    </row>
    <row r="357" spans="1:9" x14ac:dyDescent="0.25">
      <c r="A357" s="7" t="s">
        <v>446</v>
      </c>
      <c r="B357" s="4">
        <v>45390</v>
      </c>
      <c r="C357" s="3" t="s">
        <v>16</v>
      </c>
      <c r="D357" s="3" t="s">
        <v>55</v>
      </c>
      <c r="E357" s="3" t="s">
        <v>56</v>
      </c>
      <c r="F357" s="5">
        <v>822.79</v>
      </c>
      <c r="G357" s="3" t="s">
        <v>27</v>
      </c>
      <c r="H357" s="3" t="s">
        <v>14</v>
      </c>
      <c r="I357" s="8">
        <f t="shared" si="5"/>
        <v>45383</v>
      </c>
    </row>
    <row r="358" spans="1:9" x14ac:dyDescent="0.25">
      <c r="A358" s="7" t="s">
        <v>447</v>
      </c>
      <c r="B358" s="4">
        <v>45390</v>
      </c>
      <c r="C358" s="3" t="s">
        <v>33</v>
      </c>
      <c r="D358" s="3" t="s">
        <v>46</v>
      </c>
      <c r="E358" s="3" t="s">
        <v>234</v>
      </c>
      <c r="F358" s="5">
        <v>503.12</v>
      </c>
      <c r="G358" s="3" t="s">
        <v>13</v>
      </c>
      <c r="H358" s="3" t="s">
        <v>14</v>
      </c>
      <c r="I358" s="8">
        <f t="shared" si="5"/>
        <v>45383</v>
      </c>
    </row>
    <row r="359" spans="1:9" x14ac:dyDescent="0.25">
      <c r="A359" s="7" t="s">
        <v>448</v>
      </c>
      <c r="B359" s="4">
        <v>45391</v>
      </c>
      <c r="C359" s="3" t="s">
        <v>54</v>
      </c>
      <c r="D359" s="3" t="s">
        <v>22</v>
      </c>
      <c r="E359" s="3" t="s">
        <v>75</v>
      </c>
      <c r="F359" s="5">
        <v>290.06</v>
      </c>
      <c r="G359" s="3" t="s">
        <v>19</v>
      </c>
      <c r="H359" s="3" t="s">
        <v>14</v>
      </c>
      <c r="I359" s="8">
        <f t="shared" si="5"/>
        <v>45383</v>
      </c>
    </row>
    <row r="360" spans="1:9" x14ac:dyDescent="0.25">
      <c r="A360" s="7" t="s">
        <v>449</v>
      </c>
      <c r="B360" s="4">
        <v>45391</v>
      </c>
      <c r="C360" s="3" t="s">
        <v>54</v>
      </c>
      <c r="D360" s="3" t="s">
        <v>43</v>
      </c>
      <c r="E360" s="3" t="s">
        <v>85</v>
      </c>
      <c r="F360" s="5">
        <v>331.91</v>
      </c>
      <c r="G360" s="3" t="s">
        <v>13</v>
      </c>
      <c r="H360" s="3" t="s">
        <v>20</v>
      </c>
      <c r="I360" s="8">
        <f t="shared" si="5"/>
        <v>45383</v>
      </c>
    </row>
    <row r="361" spans="1:9" x14ac:dyDescent="0.25">
      <c r="A361" s="7" t="s">
        <v>450</v>
      </c>
      <c r="B361" s="4">
        <v>45391</v>
      </c>
      <c r="C361" s="3" t="s">
        <v>29</v>
      </c>
      <c r="D361" s="3" t="s">
        <v>36</v>
      </c>
      <c r="E361" s="3" t="s">
        <v>238</v>
      </c>
      <c r="F361" s="5">
        <v>50.41</v>
      </c>
      <c r="G361" s="3" t="s">
        <v>27</v>
      </c>
      <c r="H361" s="3" t="s">
        <v>14</v>
      </c>
      <c r="I361" s="8">
        <f t="shared" si="5"/>
        <v>45383</v>
      </c>
    </row>
    <row r="362" spans="1:9" x14ac:dyDescent="0.25">
      <c r="A362" s="7" t="s">
        <v>451</v>
      </c>
      <c r="B362" s="4">
        <v>45391</v>
      </c>
      <c r="C362" s="3" t="s">
        <v>16</v>
      </c>
      <c r="D362" s="3" t="s">
        <v>36</v>
      </c>
      <c r="E362" s="3" t="s">
        <v>88</v>
      </c>
      <c r="F362" s="5">
        <v>44.15</v>
      </c>
      <c r="G362" s="3" t="s">
        <v>19</v>
      </c>
      <c r="H362" s="3" t="s">
        <v>14</v>
      </c>
      <c r="I362" s="8">
        <f t="shared" si="5"/>
        <v>45383</v>
      </c>
    </row>
    <row r="363" spans="1:9" x14ac:dyDescent="0.25">
      <c r="A363" s="7" t="s">
        <v>452</v>
      </c>
      <c r="B363" s="4">
        <v>45391</v>
      </c>
      <c r="C363" s="3" t="s">
        <v>49</v>
      </c>
      <c r="D363" s="3" t="s">
        <v>40</v>
      </c>
      <c r="E363" s="3" t="s">
        <v>58</v>
      </c>
      <c r="F363" s="5">
        <v>812.8</v>
      </c>
      <c r="G363" s="3" t="s">
        <v>27</v>
      </c>
      <c r="H363" s="3" t="s">
        <v>14</v>
      </c>
      <c r="I363" s="8">
        <f t="shared" si="5"/>
        <v>45383</v>
      </c>
    </row>
    <row r="364" spans="1:9" x14ac:dyDescent="0.25">
      <c r="A364" s="7" t="s">
        <v>453</v>
      </c>
      <c r="B364" s="4">
        <v>45391</v>
      </c>
      <c r="C364" s="3" t="s">
        <v>39</v>
      </c>
      <c r="D364" s="3" t="s">
        <v>17</v>
      </c>
      <c r="E364" s="3" t="s">
        <v>80</v>
      </c>
      <c r="F364" s="5">
        <v>800.69</v>
      </c>
      <c r="G364" s="3" t="s">
        <v>24</v>
      </c>
      <c r="H364" s="3" t="s">
        <v>14</v>
      </c>
      <c r="I364" s="8">
        <f t="shared" si="5"/>
        <v>45383</v>
      </c>
    </row>
    <row r="365" spans="1:9" x14ac:dyDescent="0.25">
      <c r="A365" s="7" t="s">
        <v>454</v>
      </c>
      <c r="B365" s="4">
        <v>45392</v>
      </c>
      <c r="C365" s="3" t="s">
        <v>33</v>
      </c>
      <c r="D365" s="3" t="s">
        <v>36</v>
      </c>
      <c r="E365" s="3" t="s">
        <v>145</v>
      </c>
      <c r="F365" s="5">
        <v>196.9</v>
      </c>
      <c r="G365" s="3" t="s">
        <v>19</v>
      </c>
      <c r="H365" s="3" t="s">
        <v>14</v>
      </c>
      <c r="I365" s="8">
        <f t="shared" si="5"/>
        <v>45383</v>
      </c>
    </row>
    <row r="366" spans="1:9" x14ac:dyDescent="0.25">
      <c r="A366" s="7" t="s">
        <v>455</v>
      </c>
      <c r="B366" s="4">
        <v>45392</v>
      </c>
      <c r="C366" s="3" t="s">
        <v>29</v>
      </c>
      <c r="D366" s="3" t="s">
        <v>30</v>
      </c>
      <c r="E366" s="3" t="s">
        <v>34</v>
      </c>
      <c r="F366" s="5">
        <v>284.01</v>
      </c>
      <c r="G366" s="3" t="s">
        <v>24</v>
      </c>
      <c r="H366" s="3" t="s">
        <v>14</v>
      </c>
      <c r="I366" s="8">
        <f t="shared" si="5"/>
        <v>45383</v>
      </c>
    </row>
    <row r="367" spans="1:9" x14ac:dyDescent="0.25">
      <c r="A367" s="7" t="s">
        <v>456</v>
      </c>
      <c r="B367" s="4">
        <v>45392</v>
      </c>
      <c r="C367" s="3" t="s">
        <v>49</v>
      </c>
      <c r="D367" s="3" t="s">
        <v>30</v>
      </c>
      <c r="E367" s="3" t="s">
        <v>34</v>
      </c>
      <c r="F367" s="5">
        <v>66.97</v>
      </c>
      <c r="G367" s="3" t="s">
        <v>52</v>
      </c>
      <c r="H367" s="3" t="s">
        <v>14</v>
      </c>
      <c r="I367" s="8">
        <f t="shared" si="5"/>
        <v>45383</v>
      </c>
    </row>
    <row r="368" spans="1:9" x14ac:dyDescent="0.25">
      <c r="A368" s="7" t="s">
        <v>457</v>
      </c>
      <c r="B368" s="4">
        <v>45392</v>
      </c>
      <c r="C368" s="3" t="s">
        <v>54</v>
      </c>
      <c r="D368" s="3" t="s">
        <v>30</v>
      </c>
      <c r="E368" s="3" t="s">
        <v>169</v>
      </c>
      <c r="F368" s="5">
        <v>277.75</v>
      </c>
      <c r="G368" s="3" t="s">
        <v>19</v>
      </c>
      <c r="H368" s="3" t="s">
        <v>14</v>
      </c>
      <c r="I368" s="8">
        <f t="shared" si="5"/>
        <v>45383</v>
      </c>
    </row>
    <row r="369" spans="1:9" x14ac:dyDescent="0.25">
      <c r="A369" s="7" t="s">
        <v>458</v>
      </c>
      <c r="B369" s="4">
        <v>45392</v>
      </c>
      <c r="C369" s="3" t="s">
        <v>39</v>
      </c>
      <c r="D369" s="3" t="s">
        <v>22</v>
      </c>
      <c r="E369" s="3" t="s">
        <v>93</v>
      </c>
      <c r="F369" s="5">
        <v>1832.1</v>
      </c>
      <c r="G369" s="3" t="s">
        <v>19</v>
      </c>
      <c r="H369" s="3" t="s">
        <v>14</v>
      </c>
      <c r="I369" s="8">
        <f t="shared" si="5"/>
        <v>45383</v>
      </c>
    </row>
    <row r="370" spans="1:9" x14ac:dyDescent="0.25">
      <c r="A370" s="7" t="s">
        <v>459</v>
      </c>
      <c r="B370" s="4">
        <v>45392</v>
      </c>
      <c r="C370" s="3" t="s">
        <v>16</v>
      </c>
      <c r="D370" s="3" t="s">
        <v>17</v>
      </c>
      <c r="E370" s="3" t="s">
        <v>197</v>
      </c>
      <c r="F370" s="5">
        <v>1310.93</v>
      </c>
      <c r="G370" s="3" t="s">
        <v>24</v>
      </c>
      <c r="H370" s="3" t="s">
        <v>20</v>
      </c>
      <c r="I370" s="8">
        <f t="shared" si="5"/>
        <v>45383</v>
      </c>
    </row>
    <row r="371" spans="1:9" x14ac:dyDescent="0.25">
      <c r="A371" s="7" t="s">
        <v>460</v>
      </c>
      <c r="B371" s="4">
        <v>45392</v>
      </c>
      <c r="C371" s="3" t="s">
        <v>33</v>
      </c>
      <c r="D371" s="3" t="s">
        <v>50</v>
      </c>
      <c r="E371" s="3" t="s">
        <v>166</v>
      </c>
      <c r="F371" s="5">
        <v>142.94</v>
      </c>
      <c r="G371" s="3" t="s">
        <v>24</v>
      </c>
      <c r="H371" s="3" t="s">
        <v>14</v>
      </c>
      <c r="I371" s="8">
        <f t="shared" si="5"/>
        <v>45383</v>
      </c>
    </row>
    <row r="372" spans="1:9" x14ac:dyDescent="0.25">
      <c r="A372" s="7" t="s">
        <v>461</v>
      </c>
      <c r="B372" s="4">
        <v>45392</v>
      </c>
      <c r="C372" s="3" t="s">
        <v>49</v>
      </c>
      <c r="D372" s="3" t="s">
        <v>82</v>
      </c>
      <c r="E372" s="3" t="s">
        <v>83</v>
      </c>
      <c r="F372" s="5">
        <v>2156.17</v>
      </c>
      <c r="G372" s="3" t="s">
        <v>13</v>
      </c>
      <c r="H372" s="3" t="s">
        <v>14</v>
      </c>
      <c r="I372" s="8">
        <f t="shared" si="5"/>
        <v>45383</v>
      </c>
    </row>
    <row r="373" spans="1:9" x14ac:dyDescent="0.25">
      <c r="A373" s="7" t="s">
        <v>462</v>
      </c>
      <c r="B373" s="4">
        <v>45394</v>
      </c>
      <c r="C373" s="3" t="s">
        <v>29</v>
      </c>
      <c r="D373" s="3" t="s">
        <v>50</v>
      </c>
      <c r="E373" s="3" t="s">
        <v>51</v>
      </c>
      <c r="F373" s="5">
        <v>113.6</v>
      </c>
      <c r="G373" s="3" t="s">
        <v>24</v>
      </c>
      <c r="H373" s="3" t="s">
        <v>20</v>
      </c>
      <c r="I373" s="8">
        <f t="shared" si="5"/>
        <v>45383</v>
      </c>
    </row>
    <row r="374" spans="1:9" x14ac:dyDescent="0.25">
      <c r="A374" s="7" t="s">
        <v>463</v>
      </c>
      <c r="B374" s="4">
        <v>45394</v>
      </c>
      <c r="C374" s="3" t="s">
        <v>10</v>
      </c>
      <c r="D374" s="3" t="s">
        <v>30</v>
      </c>
      <c r="E374" s="3" t="s">
        <v>60</v>
      </c>
      <c r="F374" s="5">
        <v>62.2</v>
      </c>
      <c r="G374" s="3" t="s">
        <v>19</v>
      </c>
      <c r="H374" s="3" t="s">
        <v>14</v>
      </c>
      <c r="I374" s="8">
        <f t="shared" si="5"/>
        <v>45383</v>
      </c>
    </row>
    <row r="375" spans="1:9" x14ac:dyDescent="0.25">
      <c r="A375" s="7" t="s">
        <v>464</v>
      </c>
      <c r="B375" s="4">
        <v>45394</v>
      </c>
      <c r="C375" s="3" t="s">
        <v>29</v>
      </c>
      <c r="D375" s="3" t="s">
        <v>17</v>
      </c>
      <c r="E375" s="3" t="s">
        <v>197</v>
      </c>
      <c r="F375" s="5">
        <v>565.28</v>
      </c>
      <c r="G375" s="3" t="s">
        <v>24</v>
      </c>
      <c r="H375" s="3" t="s">
        <v>14</v>
      </c>
      <c r="I375" s="8">
        <f t="shared" si="5"/>
        <v>45383</v>
      </c>
    </row>
    <row r="376" spans="1:9" x14ac:dyDescent="0.25">
      <c r="A376" s="7" t="s">
        <v>465</v>
      </c>
      <c r="B376" s="4">
        <v>45394</v>
      </c>
      <c r="C376" s="3" t="s">
        <v>29</v>
      </c>
      <c r="D376" s="3" t="s">
        <v>17</v>
      </c>
      <c r="E376" s="3" t="s">
        <v>154</v>
      </c>
      <c r="F376" s="5">
        <v>432.59</v>
      </c>
      <c r="G376" s="3" t="s">
        <v>19</v>
      </c>
      <c r="H376" s="3" t="s">
        <v>14</v>
      </c>
      <c r="I376" s="8">
        <f t="shared" si="5"/>
        <v>45383</v>
      </c>
    </row>
    <row r="377" spans="1:9" x14ac:dyDescent="0.25">
      <c r="A377" s="7" t="s">
        <v>466</v>
      </c>
      <c r="B377" s="4">
        <v>45394</v>
      </c>
      <c r="C377" s="3" t="s">
        <v>49</v>
      </c>
      <c r="D377" s="3" t="s">
        <v>36</v>
      </c>
      <c r="E377" s="3" t="s">
        <v>238</v>
      </c>
      <c r="F377" s="5">
        <v>161.66999999999999</v>
      </c>
      <c r="G377" s="3" t="s">
        <v>19</v>
      </c>
      <c r="H377" s="3" t="s">
        <v>14</v>
      </c>
      <c r="I377" s="8">
        <f t="shared" si="5"/>
        <v>45383</v>
      </c>
    </row>
    <row r="378" spans="1:9" x14ac:dyDescent="0.25">
      <c r="A378" s="7" t="s">
        <v>467</v>
      </c>
      <c r="B378" s="4">
        <v>45395</v>
      </c>
      <c r="C378" s="3" t="s">
        <v>33</v>
      </c>
      <c r="D378" s="3" t="s">
        <v>43</v>
      </c>
      <c r="E378" s="3" t="s">
        <v>336</v>
      </c>
      <c r="F378" s="5">
        <v>210.61</v>
      </c>
      <c r="G378" s="3" t="s">
        <v>13</v>
      </c>
      <c r="H378" s="3" t="s">
        <v>20</v>
      </c>
      <c r="I378" s="8">
        <f t="shared" si="5"/>
        <v>45383</v>
      </c>
    </row>
    <row r="379" spans="1:9" x14ac:dyDescent="0.25">
      <c r="A379" s="7" t="s">
        <v>468</v>
      </c>
      <c r="B379" s="4">
        <v>45395</v>
      </c>
      <c r="C379" s="3" t="s">
        <v>22</v>
      </c>
      <c r="D379" s="3" t="s">
        <v>50</v>
      </c>
      <c r="E379" s="3" t="s">
        <v>70</v>
      </c>
      <c r="F379" s="5">
        <v>52.88</v>
      </c>
      <c r="G379" s="3" t="s">
        <v>24</v>
      </c>
      <c r="H379" s="3" t="s">
        <v>14</v>
      </c>
      <c r="I379" s="8">
        <f t="shared" si="5"/>
        <v>45383</v>
      </c>
    </row>
    <row r="380" spans="1:9" x14ac:dyDescent="0.25">
      <c r="A380" s="7" t="s">
        <v>469</v>
      </c>
      <c r="B380" s="4">
        <v>45395</v>
      </c>
      <c r="C380" s="3" t="s">
        <v>33</v>
      </c>
      <c r="D380" s="3" t="s">
        <v>22</v>
      </c>
      <c r="E380" s="3" t="s">
        <v>175</v>
      </c>
      <c r="F380" s="5">
        <v>2410</v>
      </c>
      <c r="G380" s="3" t="s">
        <v>27</v>
      </c>
      <c r="H380" s="3" t="s">
        <v>20</v>
      </c>
      <c r="I380" s="8">
        <f t="shared" si="5"/>
        <v>45383</v>
      </c>
    </row>
    <row r="381" spans="1:9" x14ac:dyDescent="0.25">
      <c r="A381" s="7" t="s">
        <v>470</v>
      </c>
      <c r="B381" s="4">
        <v>45395</v>
      </c>
      <c r="C381" s="3" t="s">
        <v>29</v>
      </c>
      <c r="D381" s="3" t="s">
        <v>17</v>
      </c>
      <c r="E381" s="3" t="s">
        <v>136</v>
      </c>
      <c r="F381" s="5">
        <v>483.53</v>
      </c>
      <c r="G381" s="3" t="s">
        <v>24</v>
      </c>
      <c r="H381" s="3" t="s">
        <v>14</v>
      </c>
      <c r="I381" s="8">
        <f t="shared" si="5"/>
        <v>45383</v>
      </c>
    </row>
    <row r="382" spans="1:9" x14ac:dyDescent="0.25">
      <c r="A382" s="7" t="s">
        <v>471</v>
      </c>
      <c r="B382" s="4">
        <v>45396</v>
      </c>
      <c r="C382" s="3" t="s">
        <v>22</v>
      </c>
      <c r="D382" s="3" t="s">
        <v>30</v>
      </c>
      <c r="E382" s="3" t="s">
        <v>169</v>
      </c>
      <c r="F382" s="5">
        <v>298.44</v>
      </c>
      <c r="G382" s="3" t="s">
        <v>19</v>
      </c>
      <c r="H382" s="3" t="s">
        <v>14</v>
      </c>
      <c r="I382" s="8">
        <f t="shared" si="5"/>
        <v>45383</v>
      </c>
    </row>
    <row r="383" spans="1:9" x14ac:dyDescent="0.25">
      <c r="A383" s="7" t="s">
        <v>472</v>
      </c>
      <c r="B383" s="4">
        <v>45396</v>
      </c>
      <c r="C383" s="3" t="s">
        <v>49</v>
      </c>
      <c r="D383" s="3" t="s">
        <v>82</v>
      </c>
      <c r="E383" s="3" t="s">
        <v>103</v>
      </c>
      <c r="F383" s="5">
        <v>1868.68</v>
      </c>
      <c r="G383" s="3" t="s">
        <v>13</v>
      </c>
      <c r="H383" s="3" t="s">
        <v>14</v>
      </c>
      <c r="I383" s="8">
        <f t="shared" si="5"/>
        <v>45383</v>
      </c>
    </row>
    <row r="384" spans="1:9" x14ac:dyDescent="0.25">
      <c r="A384" s="7" t="s">
        <v>473</v>
      </c>
      <c r="B384" s="4">
        <v>45396</v>
      </c>
      <c r="C384" s="3" t="s">
        <v>39</v>
      </c>
      <c r="D384" s="3" t="s">
        <v>50</v>
      </c>
      <c r="E384" s="3" t="s">
        <v>166</v>
      </c>
      <c r="F384" s="5">
        <v>103.62</v>
      </c>
      <c r="G384" s="3" t="s">
        <v>24</v>
      </c>
      <c r="H384" s="3" t="s">
        <v>14</v>
      </c>
      <c r="I384" s="8">
        <f t="shared" si="5"/>
        <v>45383</v>
      </c>
    </row>
    <row r="385" spans="1:9" x14ac:dyDescent="0.25">
      <c r="A385" s="7" t="s">
        <v>474</v>
      </c>
      <c r="B385" s="4">
        <v>45397</v>
      </c>
      <c r="C385" s="3" t="s">
        <v>22</v>
      </c>
      <c r="D385" s="3" t="s">
        <v>55</v>
      </c>
      <c r="E385" s="3" t="s">
        <v>400</v>
      </c>
      <c r="F385" s="5">
        <v>1506.15</v>
      </c>
      <c r="G385" s="3" t="s">
        <v>27</v>
      </c>
      <c r="H385" s="3" t="s">
        <v>14</v>
      </c>
      <c r="I385" s="8">
        <f t="shared" si="5"/>
        <v>45383</v>
      </c>
    </row>
    <row r="386" spans="1:9" x14ac:dyDescent="0.25">
      <c r="A386" s="7" t="s">
        <v>475</v>
      </c>
      <c r="B386" s="4">
        <v>45397</v>
      </c>
      <c r="C386" s="3" t="s">
        <v>29</v>
      </c>
      <c r="D386" s="3" t="s">
        <v>46</v>
      </c>
      <c r="E386" s="3" t="s">
        <v>234</v>
      </c>
      <c r="F386" s="5">
        <v>553.21</v>
      </c>
      <c r="G386" s="3" t="s">
        <v>86</v>
      </c>
      <c r="H386" s="3" t="s">
        <v>14</v>
      </c>
      <c r="I386" s="8">
        <f t="shared" si="5"/>
        <v>45383</v>
      </c>
    </row>
    <row r="387" spans="1:9" x14ac:dyDescent="0.25">
      <c r="A387" s="7" t="s">
        <v>476</v>
      </c>
      <c r="B387" s="4">
        <v>45397</v>
      </c>
      <c r="C387" s="3" t="s">
        <v>33</v>
      </c>
      <c r="D387" s="3" t="s">
        <v>17</v>
      </c>
      <c r="E387" s="3" t="s">
        <v>136</v>
      </c>
      <c r="F387" s="5">
        <v>892.48</v>
      </c>
      <c r="G387" s="3" t="s">
        <v>19</v>
      </c>
      <c r="H387" s="3" t="s">
        <v>14</v>
      </c>
      <c r="I387" s="8">
        <f t="shared" si="5"/>
        <v>45383</v>
      </c>
    </row>
    <row r="388" spans="1:9" x14ac:dyDescent="0.25">
      <c r="A388" s="7" t="s">
        <v>477</v>
      </c>
      <c r="B388" s="4">
        <v>45397</v>
      </c>
      <c r="C388" s="3" t="s">
        <v>39</v>
      </c>
      <c r="D388" s="3" t="s">
        <v>17</v>
      </c>
      <c r="E388" s="3" t="s">
        <v>23</v>
      </c>
      <c r="F388" s="5">
        <v>1031.32</v>
      </c>
      <c r="G388" s="3" t="s">
        <v>24</v>
      </c>
      <c r="H388" s="3" t="s">
        <v>20</v>
      </c>
      <c r="I388" s="8">
        <f t="shared" si="5"/>
        <v>45383</v>
      </c>
    </row>
    <row r="389" spans="1:9" x14ac:dyDescent="0.25">
      <c r="A389" s="7" t="s">
        <v>478</v>
      </c>
      <c r="B389" s="4">
        <v>45397</v>
      </c>
      <c r="C389" s="3" t="s">
        <v>33</v>
      </c>
      <c r="D389" s="3" t="s">
        <v>50</v>
      </c>
      <c r="E389" s="3" t="s">
        <v>166</v>
      </c>
      <c r="F389" s="5">
        <v>36.54</v>
      </c>
      <c r="G389" s="3" t="s">
        <v>24</v>
      </c>
      <c r="H389" s="3" t="s">
        <v>20</v>
      </c>
      <c r="I389" s="8">
        <f t="shared" ref="I389:I452" si="6">DATE(YEAR(B389),MONTH(B389),1)</f>
        <v>45383</v>
      </c>
    </row>
    <row r="390" spans="1:9" x14ac:dyDescent="0.25">
      <c r="A390" s="7" t="s">
        <v>479</v>
      </c>
      <c r="B390" s="4">
        <v>45397</v>
      </c>
      <c r="C390" s="3" t="s">
        <v>10</v>
      </c>
      <c r="D390" s="3" t="s">
        <v>50</v>
      </c>
      <c r="E390" s="3" t="s">
        <v>166</v>
      </c>
      <c r="F390" s="5">
        <v>88.57</v>
      </c>
      <c r="G390" s="3" t="s">
        <v>52</v>
      </c>
      <c r="H390" s="3" t="s">
        <v>20</v>
      </c>
      <c r="I390" s="8">
        <f t="shared" si="6"/>
        <v>45383</v>
      </c>
    </row>
    <row r="391" spans="1:9" x14ac:dyDescent="0.25">
      <c r="A391" s="7" t="s">
        <v>480</v>
      </c>
      <c r="B391" s="4">
        <v>45397</v>
      </c>
      <c r="C391" s="3" t="s">
        <v>33</v>
      </c>
      <c r="D391" s="3" t="s">
        <v>30</v>
      </c>
      <c r="E391" s="3" t="s">
        <v>31</v>
      </c>
      <c r="F391" s="5">
        <v>27.29</v>
      </c>
      <c r="G391" s="3" t="s">
        <v>24</v>
      </c>
      <c r="H391" s="3" t="s">
        <v>20</v>
      </c>
      <c r="I391" s="8">
        <f t="shared" si="6"/>
        <v>45383</v>
      </c>
    </row>
    <row r="392" spans="1:9" x14ac:dyDescent="0.25">
      <c r="A392" s="7" t="s">
        <v>481</v>
      </c>
      <c r="B392" s="4">
        <v>45397</v>
      </c>
      <c r="C392" s="3" t="s">
        <v>33</v>
      </c>
      <c r="D392" s="3" t="s">
        <v>114</v>
      </c>
      <c r="E392" s="3" t="s">
        <v>199</v>
      </c>
      <c r="F392" s="5">
        <v>745.66</v>
      </c>
      <c r="G392" s="3" t="s">
        <v>24</v>
      </c>
      <c r="H392" s="3" t="s">
        <v>14</v>
      </c>
      <c r="I392" s="8">
        <f t="shared" si="6"/>
        <v>45383</v>
      </c>
    </row>
    <row r="393" spans="1:9" x14ac:dyDescent="0.25">
      <c r="A393" s="7" t="s">
        <v>482</v>
      </c>
      <c r="B393" s="4">
        <v>45398</v>
      </c>
      <c r="C393" s="3" t="s">
        <v>22</v>
      </c>
      <c r="D393" s="3" t="s">
        <v>50</v>
      </c>
      <c r="E393" s="3" t="s">
        <v>62</v>
      </c>
      <c r="F393" s="5">
        <v>5.64</v>
      </c>
      <c r="G393" s="3" t="s">
        <v>24</v>
      </c>
      <c r="H393" s="3" t="s">
        <v>14</v>
      </c>
      <c r="I393" s="8">
        <f t="shared" si="6"/>
        <v>45383</v>
      </c>
    </row>
    <row r="394" spans="1:9" x14ac:dyDescent="0.25">
      <c r="A394" s="7" t="s">
        <v>483</v>
      </c>
      <c r="B394" s="4">
        <v>45399</v>
      </c>
      <c r="C394" s="3" t="s">
        <v>39</v>
      </c>
      <c r="D394" s="3" t="s">
        <v>82</v>
      </c>
      <c r="E394" s="3" t="s">
        <v>103</v>
      </c>
      <c r="F394" s="5">
        <v>905.26</v>
      </c>
      <c r="G394" s="3" t="s">
        <v>27</v>
      </c>
      <c r="H394" s="3" t="s">
        <v>14</v>
      </c>
      <c r="I394" s="8">
        <f t="shared" si="6"/>
        <v>45383</v>
      </c>
    </row>
    <row r="395" spans="1:9" x14ac:dyDescent="0.25">
      <c r="A395" s="7" t="s">
        <v>484</v>
      </c>
      <c r="B395" s="4">
        <v>45399</v>
      </c>
      <c r="C395" s="3" t="s">
        <v>33</v>
      </c>
      <c r="D395" s="3" t="s">
        <v>17</v>
      </c>
      <c r="E395" s="3" t="s">
        <v>136</v>
      </c>
      <c r="F395" s="5">
        <v>1268.6300000000001</v>
      </c>
      <c r="G395" s="3" t="s">
        <v>24</v>
      </c>
      <c r="H395" s="3" t="s">
        <v>14</v>
      </c>
      <c r="I395" s="8">
        <f t="shared" si="6"/>
        <v>45383</v>
      </c>
    </row>
    <row r="396" spans="1:9" x14ac:dyDescent="0.25">
      <c r="A396" s="7" t="s">
        <v>485</v>
      </c>
      <c r="B396" s="4">
        <v>45400</v>
      </c>
      <c r="C396" s="3" t="s">
        <v>10</v>
      </c>
      <c r="D396" s="3" t="s">
        <v>50</v>
      </c>
      <c r="E396" s="3" t="s">
        <v>70</v>
      </c>
      <c r="F396" s="5">
        <v>131.84</v>
      </c>
      <c r="G396" s="3" t="s">
        <v>52</v>
      </c>
      <c r="H396" s="3" t="s">
        <v>14</v>
      </c>
      <c r="I396" s="8">
        <f t="shared" si="6"/>
        <v>45383</v>
      </c>
    </row>
    <row r="397" spans="1:9" x14ac:dyDescent="0.25">
      <c r="A397" s="7" t="s">
        <v>486</v>
      </c>
      <c r="B397" s="4">
        <v>45400</v>
      </c>
      <c r="C397" s="3" t="s">
        <v>39</v>
      </c>
      <c r="D397" s="3" t="s">
        <v>50</v>
      </c>
      <c r="E397" s="3" t="s">
        <v>70</v>
      </c>
      <c r="F397" s="5">
        <v>31.18</v>
      </c>
      <c r="G397" s="3" t="s">
        <v>24</v>
      </c>
      <c r="H397" s="3" t="s">
        <v>14</v>
      </c>
      <c r="I397" s="8">
        <f t="shared" si="6"/>
        <v>45383</v>
      </c>
    </row>
    <row r="398" spans="1:9" x14ac:dyDescent="0.25">
      <c r="A398" s="7" t="s">
        <v>487</v>
      </c>
      <c r="B398" s="4">
        <v>45400</v>
      </c>
      <c r="C398" s="3" t="s">
        <v>39</v>
      </c>
      <c r="D398" s="3" t="s">
        <v>50</v>
      </c>
      <c r="E398" s="3" t="s">
        <v>62</v>
      </c>
      <c r="F398" s="5">
        <v>48.28</v>
      </c>
      <c r="G398" s="3" t="s">
        <v>24</v>
      </c>
      <c r="H398" s="3" t="s">
        <v>14</v>
      </c>
      <c r="I398" s="8">
        <f t="shared" si="6"/>
        <v>45383</v>
      </c>
    </row>
    <row r="399" spans="1:9" x14ac:dyDescent="0.25">
      <c r="A399" s="7" t="s">
        <v>488</v>
      </c>
      <c r="B399" s="4">
        <v>45401</v>
      </c>
      <c r="C399" s="3" t="s">
        <v>29</v>
      </c>
      <c r="D399" s="3" t="s">
        <v>30</v>
      </c>
      <c r="E399" s="3" t="s">
        <v>214</v>
      </c>
      <c r="F399" s="5">
        <v>20.65</v>
      </c>
      <c r="G399" s="3" t="s">
        <v>52</v>
      </c>
      <c r="H399" s="3" t="s">
        <v>14</v>
      </c>
      <c r="I399" s="8">
        <f t="shared" si="6"/>
        <v>45383</v>
      </c>
    </row>
    <row r="400" spans="1:9" x14ac:dyDescent="0.25">
      <c r="A400" s="7" t="s">
        <v>489</v>
      </c>
      <c r="B400" s="4">
        <v>45401</v>
      </c>
      <c r="C400" s="3" t="s">
        <v>54</v>
      </c>
      <c r="D400" s="3" t="s">
        <v>36</v>
      </c>
      <c r="E400" s="3" t="s">
        <v>37</v>
      </c>
      <c r="F400" s="5">
        <v>168.99</v>
      </c>
      <c r="G400" s="3" t="s">
        <v>19</v>
      </c>
      <c r="H400" s="3" t="s">
        <v>14</v>
      </c>
      <c r="I400" s="8">
        <f t="shared" si="6"/>
        <v>45383</v>
      </c>
    </row>
    <row r="401" spans="1:9" x14ac:dyDescent="0.25">
      <c r="A401" s="7" t="s">
        <v>490</v>
      </c>
      <c r="B401" s="4">
        <v>45402</v>
      </c>
      <c r="C401" s="3" t="s">
        <v>22</v>
      </c>
      <c r="D401" s="3" t="s">
        <v>30</v>
      </c>
      <c r="E401" s="3" t="s">
        <v>214</v>
      </c>
      <c r="F401" s="5">
        <v>278.14</v>
      </c>
      <c r="G401" s="3" t="s">
        <v>24</v>
      </c>
      <c r="H401" s="3" t="s">
        <v>14</v>
      </c>
      <c r="I401" s="8">
        <f t="shared" si="6"/>
        <v>45383</v>
      </c>
    </row>
    <row r="402" spans="1:9" x14ac:dyDescent="0.25">
      <c r="A402" s="7" t="s">
        <v>491</v>
      </c>
      <c r="B402" s="4">
        <v>45403</v>
      </c>
      <c r="C402" s="3" t="s">
        <v>54</v>
      </c>
      <c r="D402" s="3" t="s">
        <v>36</v>
      </c>
      <c r="E402" s="3" t="s">
        <v>145</v>
      </c>
      <c r="F402" s="5">
        <v>45.02</v>
      </c>
      <c r="G402" s="3" t="s">
        <v>27</v>
      </c>
      <c r="H402" s="3" t="s">
        <v>14</v>
      </c>
      <c r="I402" s="8">
        <f t="shared" si="6"/>
        <v>45383</v>
      </c>
    </row>
    <row r="403" spans="1:9" x14ac:dyDescent="0.25">
      <c r="A403" s="7" t="s">
        <v>492</v>
      </c>
      <c r="B403" s="4">
        <v>45403</v>
      </c>
      <c r="C403" s="3" t="s">
        <v>16</v>
      </c>
      <c r="D403" s="3" t="s">
        <v>40</v>
      </c>
      <c r="E403" s="3" t="s">
        <v>130</v>
      </c>
      <c r="F403" s="5">
        <v>446.91</v>
      </c>
      <c r="G403" s="3" t="s">
        <v>19</v>
      </c>
      <c r="H403" s="3" t="s">
        <v>14</v>
      </c>
      <c r="I403" s="8">
        <f t="shared" si="6"/>
        <v>45383</v>
      </c>
    </row>
    <row r="404" spans="1:9" x14ac:dyDescent="0.25">
      <c r="A404" s="7" t="s">
        <v>493</v>
      </c>
      <c r="B404" s="4">
        <v>45403</v>
      </c>
      <c r="C404" s="3" t="s">
        <v>33</v>
      </c>
      <c r="D404" s="3" t="s">
        <v>114</v>
      </c>
      <c r="E404" s="3" t="s">
        <v>117</v>
      </c>
      <c r="F404" s="5">
        <v>124.55</v>
      </c>
      <c r="G404" s="3" t="s">
        <v>19</v>
      </c>
      <c r="H404" s="3" t="s">
        <v>20</v>
      </c>
      <c r="I404" s="8">
        <f t="shared" si="6"/>
        <v>45383</v>
      </c>
    </row>
    <row r="405" spans="1:9" x14ac:dyDescent="0.25">
      <c r="A405" s="7" t="s">
        <v>494</v>
      </c>
      <c r="B405" s="4">
        <v>45403</v>
      </c>
      <c r="C405" s="3" t="s">
        <v>33</v>
      </c>
      <c r="D405" s="3" t="s">
        <v>22</v>
      </c>
      <c r="E405" s="3" t="s">
        <v>75</v>
      </c>
      <c r="F405" s="5">
        <v>842.87</v>
      </c>
      <c r="G405" s="3" t="s">
        <v>19</v>
      </c>
      <c r="H405" s="3" t="s">
        <v>14</v>
      </c>
      <c r="I405" s="8">
        <f t="shared" si="6"/>
        <v>45383</v>
      </c>
    </row>
    <row r="406" spans="1:9" x14ac:dyDescent="0.25">
      <c r="A406" s="7" t="s">
        <v>495</v>
      </c>
      <c r="B406" s="4">
        <v>45403</v>
      </c>
      <c r="C406" s="3" t="s">
        <v>10</v>
      </c>
      <c r="D406" s="3" t="s">
        <v>22</v>
      </c>
      <c r="E406" s="3" t="s">
        <v>75</v>
      </c>
      <c r="F406" s="5">
        <v>1965.22</v>
      </c>
      <c r="G406" s="3" t="s">
        <v>27</v>
      </c>
      <c r="H406" s="3" t="s">
        <v>14</v>
      </c>
      <c r="I406" s="8">
        <f t="shared" si="6"/>
        <v>45383</v>
      </c>
    </row>
    <row r="407" spans="1:9" x14ac:dyDescent="0.25">
      <c r="A407" s="7" t="s">
        <v>496</v>
      </c>
      <c r="B407" s="4">
        <v>45403</v>
      </c>
      <c r="C407" s="3" t="s">
        <v>10</v>
      </c>
      <c r="D407" s="3" t="s">
        <v>82</v>
      </c>
      <c r="E407" s="3" t="s">
        <v>83</v>
      </c>
      <c r="F407" s="5">
        <v>1320.57</v>
      </c>
      <c r="G407" s="3" t="s">
        <v>13</v>
      </c>
      <c r="H407" s="3" t="s">
        <v>14</v>
      </c>
      <c r="I407" s="8">
        <f t="shared" si="6"/>
        <v>45383</v>
      </c>
    </row>
    <row r="408" spans="1:9" x14ac:dyDescent="0.25">
      <c r="A408" s="7" t="s">
        <v>497</v>
      </c>
      <c r="B408" s="4">
        <v>45404</v>
      </c>
      <c r="C408" s="3" t="s">
        <v>33</v>
      </c>
      <c r="D408" s="3" t="s">
        <v>46</v>
      </c>
      <c r="E408" s="3" t="s">
        <v>47</v>
      </c>
      <c r="F408" s="5">
        <v>362.92</v>
      </c>
      <c r="G408" s="3" t="s">
        <v>86</v>
      </c>
      <c r="H408" s="3" t="s">
        <v>20</v>
      </c>
      <c r="I408" s="8">
        <f t="shared" si="6"/>
        <v>45383</v>
      </c>
    </row>
    <row r="409" spans="1:9" x14ac:dyDescent="0.25">
      <c r="A409" s="7" t="s">
        <v>498</v>
      </c>
      <c r="B409" s="4">
        <v>45405</v>
      </c>
      <c r="C409" s="3" t="s">
        <v>29</v>
      </c>
      <c r="D409" s="3" t="s">
        <v>50</v>
      </c>
      <c r="E409" s="3" t="s">
        <v>51</v>
      </c>
      <c r="F409" s="5">
        <v>22.45</v>
      </c>
      <c r="G409" s="3" t="s">
        <v>24</v>
      </c>
      <c r="H409" s="3" t="s">
        <v>20</v>
      </c>
      <c r="I409" s="8">
        <f t="shared" si="6"/>
        <v>45383</v>
      </c>
    </row>
    <row r="410" spans="1:9" x14ac:dyDescent="0.25">
      <c r="A410" s="7" t="s">
        <v>499</v>
      </c>
      <c r="B410" s="4">
        <v>45405</v>
      </c>
      <c r="C410" s="3" t="s">
        <v>10</v>
      </c>
      <c r="D410" s="3" t="s">
        <v>30</v>
      </c>
      <c r="E410" s="3" t="s">
        <v>60</v>
      </c>
      <c r="F410" s="5">
        <v>223.05</v>
      </c>
      <c r="G410" s="3" t="s">
        <v>52</v>
      </c>
      <c r="H410" s="3" t="s">
        <v>14</v>
      </c>
      <c r="I410" s="8">
        <f t="shared" si="6"/>
        <v>45383</v>
      </c>
    </row>
    <row r="411" spans="1:9" x14ac:dyDescent="0.25">
      <c r="A411" s="7" t="s">
        <v>500</v>
      </c>
      <c r="B411" s="4">
        <v>45405</v>
      </c>
      <c r="C411" s="3" t="s">
        <v>10</v>
      </c>
      <c r="D411" s="3" t="s">
        <v>46</v>
      </c>
      <c r="E411" s="3" t="s">
        <v>187</v>
      </c>
      <c r="F411" s="5">
        <v>566.02</v>
      </c>
      <c r="G411" s="3" t="s">
        <v>13</v>
      </c>
      <c r="H411" s="3" t="s">
        <v>14</v>
      </c>
      <c r="I411" s="8">
        <f t="shared" si="6"/>
        <v>45383</v>
      </c>
    </row>
    <row r="412" spans="1:9" x14ac:dyDescent="0.25">
      <c r="A412" s="7" t="s">
        <v>501</v>
      </c>
      <c r="B412" s="4">
        <v>45405</v>
      </c>
      <c r="C412" s="3" t="s">
        <v>22</v>
      </c>
      <c r="D412" s="3" t="s">
        <v>46</v>
      </c>
      <c r="E412" s="3" t="s">
        <v>187</v>
      </c>
      <c r="F412" s="5">
        <v>212.65</v>
      </c>
      <c r="G412" s="3" t="s">
        <v>13</v>
      </c>
      <c r="H412" s="3" t="s">
        <v>14</v>
      </c>
      <c r="I412" s="8">
        <f t="shared" si="6"/>
        <v>45383</v>
      </c>
    </row>
    <row r="413" spans="1:9" x14ac:dyDescent="0.25">
      <c r="A413" s="7" t="s">
        <v>502</v>
      </c>
      <c r="B413" s="4">
        <v>45405</v>
      </c>
      <c r="C413" s="3" t="s">
        <v>49</v>
      </c>
      <c r="D413" s="3" t="s">
        <v>22</v>
      </c>
      <c r="E413" s="3" t="s">
        <v>97</v>
      </c>
      <c r="F413" s="5">
        <v>1824.68</v>
      </c>
      <c r="G413" s="3" t="s">
        <v>19</v>
      </c>
      <c r="H413" s="3" t="s">
        <v>14</v>
      </c>
      <c r="I413" s="8">
        <f t="shared" si="6"/>
        <v>45383</v>
      </c>
    </row>
    <row r="414" spans="1:9" x14ac:dyDescent="0.25">
      <c r="A414" s="7" t="s">
        <v>503</v>
      </c>
      <c r="B414" s="4">
        <v>45405</v>
      </c>
      <c r="C414" s="3" t="s">
        <v>39</v>
      </c>
      <c r="D414" s="3" t="s">
        <v>40</v>
      </c>
      <c r="E414" s="3" t="s">
        <v>182</v>
      </c>
      <c r="F414" s="5">
        <v>705.96</v>
      </c>
      <c r="G414" s="3" t="s">
        <v>19</v>
      </c>
      <c r="H414" s="3" t="s">
        <v>14</v>
      </c>
      <c r="I414" s="8">
        <f t="shared" si="6"/>
        <v>45383</v>
      </c>
    </row>
    <row r="415" spans="1:9" x14ac:dyDescent="0.25">
      <c r="A415" s="7" t="s">
        <v>504</v>
      </c>
      <c r="B415" s="4">
        <v>45405</v>
      </c>
      <c r="C415" s="3" t="s">
        <v>22</v>
      </c>
      <c r="D415" s="3" t="s">
        <v>36</v>
      </c>
      <c r="E415" s="3" t="s">
        <v>238</v>
      </c>
      <c r="F415" s="5">
        <v>65.5</v>
      </c>
      <c r="G415" s="3" t="s">
        <v>19</v>
      </c>
      <c r="H415" s="3" t="s">
        <v>14</v>
      </c>
      <c r="I415" s="8">
        <f t="shared" si="6"/>
        <v>45383</v>
      </c>
    </row>
    <row r="416" spans="1:9" x14ac:dyDescent="0.25">
      <c r="A416" s="7" t="s">
        <v>505</v>
      </c>
      <c r="B416" s="4">
        <v>45405</v>
      </c>
      <c r="C416" s="3" t="s">
        <v>16</v>
      </c>
      <c r="D416" s="3" t="s">
        <v>22</v>
      </c>
      <c r="E416" s="3" t="s">
        <v>26</v>
      </c>
      <c r="F416" s="5">
        <v>508.8</v>
      </c>
      <c r="G416" s="3" t="s">
        <v>27</v>
      </c>
      <c r="H416" s="3" t="s">
        <v>20</v>
      </c>
      <c r="I416" s="8">
        <f t="shared" si="6"/>
        <v>45383</v>
      </c>
    </row>
    <row r="417" spans="1:9" x14ac:dyDescent="0.25">
      <c r="A417" s="7" t="s">
        <v>506</v>
      </c>
      <c r="B417" s="4">
        <v>45406</v>
      </c>
      <c r="C417" s="3" t="s">
        <v>39</v>
      </c>
      <c r="D417" s="3" t="s">
        <v>50</v>
      </c>
      <c r="E417" s="3" t="s">
        <v>51</v>
      </c>
      <c r="F417" s="5">
        <v>83.2</v>
      </c>
      <c r="G417" s="3" t="s">
        <v>24</v>
      </c>
      <c r="H417" s="3" t="s">
        <v>20</v>
      </c>
      <c r="I417" s="8">
        <f t="shared" si="6"/>
        <v>45383</v>
      </c>
    </row>
    <row r="418" spans="1:9" x14ac:dyDescent="0.25">
      <c r="A418" s="7" t="s">
        <v>507</v>
      </c>
      <c r="B418" s="4">
        <v>45406</v>
      </c>
      <c r="C418" s="3" t="s">
        <v>49</v>
      </c>
      <c r="D418" s="3" t="s">
        <v>50</v>
      </c>
      <c r="E418" s="3" t="s">
        <v>70</v>
      </c>
      <c r="F418" s="5">
        <v>148.41999999999999</v>
      </c>
      <c r="G418" s="3" t="s">
        <v>24</v>
      </c>
      <c r="H418" s="3" t="s">
        <v>20</v>
      </c>
      <c r="I418" s="8">
        <f t="shared" si="6"/>
        <v>45383</v>
      </c>
    </row>
    <row r="419" spans="1:9" x14ac:dyDescent="0.25">
      <c r="A419" s="7" t="s">
        <v>508</v>
      </c>
      <c r="B419" s="4">
        <v>45407</v>
      </c>
      <c r="C419" s="3" t="s">
        <v>39</v>
      </c>
      <c r="D419" s="3" t="s">
        <v>46</v>
      </c>
      <c r="E419" s="3" t="s">
        <v>187</v>
      </c>
      <c r="F419" s="5">
        <v>308.36</v>
      </c>
      <c r="G419" s="3" t="s">
        <v>13</v>
      </c>
      <c r="H419" s="3" t="s">
        <v>14</v>
      </c>
      <c r="I419" s="8">
        <f t="shared" si="6"/>
        <v>45383</v>
      </c>
    </row>
    <row r="420" spans="1:9" x14ac:dyDescent="0.25">
      <c r="A420" s="7" t="s">
        <v>509</v>
      </c>
      <c r="B420" s="4">
        <v>45407</v>
      </c>
      <c r="C420" s="3" t="s">
        <v>49</v>
      </c>
      <c r="D420" s="3" t="s">
        <v>17</v>
      </c>
      <c r="E420" s="3" t="s">
        <v>197</v>
      </c>
      <c r="F420" s="5">
        <v>1437.45</v>
      </c>
      <c r="G420" s="3" t="s">
        <v>24</v>
      </c>
      <c r="H420" s="3" t="s">
        <v>14</v>
      </c>
      <c r="I420" s="8">
        <f t="shared" si="6"/>
        <v>45383</v>
      </c>
    </row>
    <row r="421" spans="1:9" x14ac:dyDescent="0.25">
      <c r="A421" s="7" t="s">
        <v>510</v>
      </c>
      <c r="B421" s="4">
        <v>45407</v>
      </c>
      <c r="C421" s="3" t="s">
        <v>54</v>
      </c>
      <c r="D421" s="3" t="s">
        <v>36</v>
      </c>
      <c r="E421" s="3" t="s">
        <v>37</v>
      </c>
      <c r="F421" s="5">
        <v>199.35</v>
      </c>
      <c r="G421" s="3" t="s">
        <v>19</v>
      </c>
      <c r="H421" s="3" t="s">
        <v>20</v>
      </c>
      <c r="I421" s="8">
        <f t="shared" si="6"/>
        <v>45383</v>
      </c>
    </row>
    <row r="422" spans="1:9" x14ac:dyDescent="0.25">
      <c r="A422" s="7" t="s">
        <v>511</v>
      </c>
      <c r="B422" s="4">
        <v>45408</v>
      </c>
      <c r="C422" s="3" t="s">
        <v>29</v>
      </c>
      <c r="D422" s="3" t="s">
        <v>50</v>
      </c>
      <c r="E422" s="3" t="s">
        <v>62</v>
      </c>
      <c r="F422" s="5">
        <v>112.54</v>
      </c>
      <c r="G422" s="3" t="s">
        <v>52</v>
      </c>
      <c r="H422" s="3" t="s">
        <v>20</v>
      </c>
      <c r="I422" s="8">
        <f t="shared" si="6"/>
        <v>45383</v>
      </c>
    </row>
    <row r="423" spans="1:9" x14ac:dyDescent="0.25">
      <c r="A423" s="7" t="s">
        <v>512</v>
      </c>
      <c r="B423" s="4">
        <v>45408</v>
      </c>
      <c r="C423" s="3" t="s">
        <v>16</v>
      </c>
      <c r="D423" s="3" t="s">
        <v>40</v>
      </c>
      <c r="E423" s="3" t="s">
        <v>182</v>
      </c>
      <c r="F423" s="5">
        <v>569.88</v>
      </c>
      <c r="G423" s="3" t="s">
        <v>19</v>
      </c>
      <c r="H423" s="3" t="s">
        <v>14</v>
      </c>
      <c r="I423" s="8">
        <f t="shared" si="6"/>
        <v>45383</v>
      </c>
    </row>
    <row r="424" spans="1:9" x14ac:dyDescent="0.25">
      <c r="A424" s="7" t="s">
        <v>513</v>
      </c>
      <c r="B424" s="4">
        <v>45409</v>
      </c>
      <c r="C424" s="3" t="s">
        <v>49</v>
      </c>
      <c r="D424" s="3" t="s">
        <v>50</v>
      </c>
      <c r="E424" s="3" t="s">
        <v>70</v>
      </c>
      <c r="F424" s="5">
        <v>49.1</v>
      </c>
      <c r="G424" s="3" t="s">
        <v>24</v>
      </c>
      <c r="H424" s="3" t="s">
        <v>14</v>
      </c>
      <c r="I424" s="8">
        <f t="shared" si="6"/>
        <v>45383</v>
      </c>
    </row>
    <row r="425" spans="1:9" x14ac:dyDescent="0.25">
      <c r="A425" s="7" t="s">
        <v>514</v>
      </c>
      <c r="B425" s="4">
        <v>45409</v>
      </c>
      <c r="C425" s="3" t="s">
        <v>54</v>
      </c>
      <c r="D425" s="3" t="s">
        <v>22</v>
      </c>
      <c r="E425" s="3" t="s">
        <v>175</v>
      </c>
      <c r="F425" s="5">
        <v>141.43</v>
      </c>
      <c r="G425" s="3" t="s">
        <v>27</v>
      </c>
      <c r="H425" s="3" t="s">
        <v>14</v>
      </c>
      <c r="I425" s="8">
        <f t="shared" si="6"/>
        <v>45383</v>
      </c>
    </row>
    <row r="426" spans="1:9" x14ac:dyDescent="0.25">
      <c r="A426" s="7" t="s">
        <v>515</v>
      </c>
      <c r="B426" s="4">
        <v>45409</v>
      </c>
      <c r="C426" s="3" t="s">
        <v>39</v>
      </c>
      <c r="D426" s="3" t="s">
        <v>50</v>
      </c>
      <c r="E426" s="3" t="s">
        <v>166</v>
      </c>
      <c r="F426" s="5">
        <v>66.27</v>
      </c>
      <c r="G426" s="3" t="s">
        <v>52</v>
      </c>
      <c r="H426" s="3" t="s">
        <v>14</v>
      </c>
      <c r="I426" s="8">
        <f t="shared" si="6"/>
        <v>45383</v>
      </c>
    </row>
    <row r="427" spans="1:9" x14ac:dyDescent="0.25">
      <c r="A427" s="7" t="s">
        <v>516</v>
      </c>
      <c r="B427" s="4">
        <v>45409</v>
      </c>
      <c r="C427" s="3" t="s">
        <v>29</v>
      </c>
      <c r="D427" s="3" t="s">
        <v>36</v>
      </c>
      <c r="E427" s="3" t="s">
        <v>88</v>
      </c>
      <c r="F427" s="5">
        <v>12.78</v>
      </c>
      <c r="G427" s="3" t="s">
        <v>19</v>
      </c>
      <c r="H427" s="3" t="s">
        <v>20</v>
      </c>
      <c r="I427" s="8">
        <f t="shared" si="6"/>
        <v>45383</v>
      </c>
    </row>
    <row r="428" spans="1:9" x14ac:dyDescent="0.25">
      <c r="A428" s="7" t="s">
        <v>517</v>
      </c>
      <c r="B428" s="4">
        <v>45410</v>
      </c>
      <c r="C428" s="3" t="s">
        <v>10</v>
      </c>
      <c r="D428" s="3" t="s">
        <v>50</v>
      </c>
      <c r="E428" s="3" t="s">
        <v>51</v>
      </c>
      <c r="F428" s="5">
        <v>39.229999999999997</v>
      </c>
      <c r="G428" s="3" t="s">
        <v>52</v>
      </c>
      <c r="H428" s="3" t="s">
        <v>14</v>
      </c>
      <c r="I428" s="8">
        <f t="shared" si="6"/>
        <v>45383</v>
      </c>
    </row>
    <row r="429" spans="1:9" x14ac:dyDescent="0.25">
      <c r="A429" s="7" t="s">
        <v>518</v>
      </c>
      <c r="B429" s="4">
        <v>45410</v>
      </c>
      <c r="C429" s="3" t="s">
        <v>10</v>
      </c>
      <c r="D429" s="3" t="s">
        <v>22</v>
      </c>
      <c r="E429" s="3" t="s">
        <v>244</v>
      </c>
      <c r="F429" s="5">
        <v>2154.7800000000002</v>
      </c>
      <c r="G429" s="3" t="s">
        <v>27</v>
      </c>
      <c r="H429" s="3" t="s">
        <v>14</v>
      </c>
      <c r="I429" s="8">
        <f t="shared" si="6"/>
        <v>45383</v>
      </c>
    </row>
    <row r="430" spans="1:9" x14ac:dyDescent="0.25">
      <c r="A430" s="7" t="s">
        <v>519</v>
      </c>
      <c r="B430" s="4">
        <v>45410</v>
      </c>
      <c r="C430" s="3" t="s">
        <v>54</v>
      </c>
      <c r="D430" s="3" t="s">
        <v>40</v>
      </c>
      <c r="E430" s="3" t="s">
        <v>41</v>
      </c>
      <c r="F430" s="5">
        <v>856.1</v>
      </c>
      <c r="G430" s="3" t="s">
        <v>19</v>
      </c>
      <c r="H430" s="3" t="s">
        <v>14</v>
      </c>
      <c r="I430" s="8">
        <f t="shared" si="6"/>
        <v>45383</v>
      </c>
    </row>
    <row r="431" spans="1:9" x14ac:dyDescent="0.25">
      <c r="A431" s="7" t="s">
        <v>520</v>
      </c>
      <c r="B431" s="4">
        <v>45411</v>
      </c>
      <c r="C431" s="3" t="s">
        <v>33</v>
      </c>
      <c r="D431" s="3" t="s">
        <v>17</v>
      </c>
      <c r="E431" s="3" t="s">
        <v>18</v>
      </c>
      <c r="F431" s="5">
        <v>1443.81</v>
      </c>
      <c r="G431" s="3" t="s">
        <v>19</v>
      </c>
      <c r="H431" s="3" t="s">
        <v>14</v>
      </c>
      <c r="I431" s="8">
        <f t="shared" si="6"/>
        <v>45383</v>
      </c>
    </row>
    <row r="432" spans="1:9" x14ac:dyDescent="0.25">
      <c r="A432" s="7" t="s">
        <v>521</v>
      </c>
      <c r="B432" s="4">
        <v>45411</v>
      </c>
      <c r="C432" s="3" t="s">
        <v>22</v>
      </c>
      <c r="D432" s="3" t="s">
        <v>50</v>
      </c>
      <c r="E432" s="3" t="s">
        <v>51</v>
      </c>
      <c r="F432" s="5">
        <v>95.56</v>
      </c>
      <c r="G432" s="3" t="s">
        <v>24</v>
      </c>
      <c r="H432" s="3" t="s">
        <v>14</v>
      </c>
      <c r="I432" s="8">
        <f t="shared" si="6"/>
        <v>45383</v>
      </c>
    </row>
    <row r="433" spans="1:9" x14ac:dyDescent="0.25">
      <c r="A433" s="7" t="s">
        <v>522</v>
      </c>
      <c r="B433" s="4">
        <v>45411</v>
      </c>
      <c r="C433" s="3" t="s">
        <v>16</v>
      </c>
      <c r="D433" s="3" t="s">
        <v>46</v>
      </c>
      <c r="E433" s="3" t="s">
        <v>234</v>
      </c>
      <c r="F433" s="5">
        <v>583.97</v>
      </c>
      <c r="G433" s="3" t="s">
        <v>13</v>
      </c>
      <c r="H433" s="3" t="s">
        <v>14</v>
      </c>
      <c r="I433" s="8">
        <f t="shared" si="6"/>
        <v>45383</v>
      </c>
    </row>
    <row r="434" spans="1:9" x14ac:dyDescent="0.25">
      <c r="A434" s="7" t="s">
        <v>523</v>
      </c>
      <c r="B434" s="4">
        <v>45411</v>
      </c>
      <c r="C434" s="3" t="s">
        <v>33</v>
      </c>
      <c r="D434" s="3" t="s">
        <v>22</v>
      </c>
      <c r="E434" s="3" t="s">
        <v>175</v>
      </c>
      <c r="F434" s="5">
        <v>1708.34</v>
      </c>
      <c r="G434" s="3" t="s">
        <v>27</v>
      </c>
      <c r="H434" s="3" t="s">
        <v>20</v>
      </c>
      <c r="I434" s="8">
        <f t="shared" si="6"/>
        <v>45383</v>
      </c>
    </row>
    <row r="435" spans="1:9" x14ac:dyDescent="0.25">
      <c r="A435" s="7" t="s">
        <v>524</v>
      </c>
      <c r="B435" s="4">
        <v>45412</v>
      </c>
      <c r="C435" s="3" t="s">
        <v>49</v>
      </c>
      <c r="D435" s="3" t="s">
        <v>50</v>
      </c>
      <c r="E435" s="3" t="s">
        <v>62</v>
      </c>
      <c r="F435" s="5">
        <v>30.78</v>
      </c>
      <c r="G435" s="3" t="s">
        <v>24</v>
      </c>
      <c r="H435" s="3" t="s">
        <v>14</v>
      </c>
      <c r="I435" s="8">
        <f t="shared" si="6"/>
        <v>45383</v>
      </c>
    </row>
    <row r="436" spans="1:9" x14ac:dyDescent="0.25">
      <c r="A436" s="7" t="s">
        <v>525</v>
      </c>
      <c r="B436" s="4">
        <v>45412</v>
      </c>
      <c r="C436" s="3" t="s">
        <v>39</v>
      </c>
      <c r="D436" s="3" t="s">
        <v>114</v>
      </c>
      <c r="E436" s="3" t="s">
        <v>117</v>
      </c>
      <c r="F436" s="5">
        <v>473.97</v>
      </c>
      <c r="G436" s="3" t="s">
        <v>19</v>
      </c>
      <c r="H436" s="3" t="s">
        <v>20</v>
      </c>
      <c r="I436" s="8">
        <f t="shared" si="6"/>
        <v>45383</v>
      </c>
    </row>
    <row r="437" spans="1:9" x14ac:dyDescent="0.25">
      <c r="A437" s="7" t="s">
        <v>526</v>
      </c>
      <c r="B437" s="4">
        <v>45412</v>
      </c>
      <c r="C437" s="3" t="s">
        <v>49</v>
      </c>
      <c r="D437" s="3" t="s">
        <v>30</v>
      </c>
      <c r="E437" s="3" t="s">
        <v>65</v>
      </c>
      <c r="F437" s="5">
        <v>67.34</v>
      </c>
      <c r="G437" s="3" t="s">
        <v>19</v>
      </c>
      <c r="H437" s="3" t="s">
        <v>14</v>
      </c>
      <c r="I437" s="8">
        <f t="shared" si="6"/>
        <v>45383</v>
      </c>
    </row>
    <row r="438" spans="1:9" x14ac:dyDescent="0.25">
      <c r="A438" s="7" t="s">
        <v>527</v>
      </c>
      <c r="B438" s="4">
        <v>45413</v>
      </c>
      <c r="C438" s="3" t="s">
        <v>16</v>
      </c>
      <c r="D438" s="3" t="s">
        <v>11</v>
      </c>
      <c r="E438" s="3" t="s">
        <v>12</v>
      </c>
      <c r="F438" s="5">
        <v>15000</v>
      </c>
      <c r="G438" s="3" t="s">
        <v>13</v>
      </c>
      <c r="H438" s="3" t="s">
        <v>14</v>
      </c>
      <c r="I438" s="8">
        <f t="shared" si="6"/>
        <v>45413</v>
      </c>
    </row>
    <row r="439" spans="1:9" x14ac:dyDescent="0.25">
      <c r="A439" s="7" t="s">
        <v>528</v>
      </c>
      <c r="B439" s="4">
        <v>45413</v>
      </c>
      <c r="C439" s="3" t="s">
        <v>54</v>
      </c>
      <c r="D439" s="3" t="s">
        <v>22</v>
      </c>
      <c r="E439" s="3" t="s">
        <v>26</v>
      </c>
      <c r="F439" s="5">
        <v>158.32</v>
      </c>
      <c r="G439" s="3" t="s">
        <v>27</v>
      </c>
      <c r="H439" s="3" t="s">
        <v>14</v>
      </c>
      <c r="I439" s="8">
        <f t="shared" si="6"/>
        <v>45413</v>
      </c>
    </row>
    <row r="440" spans="1:9" x14ac:dyDescent="0.25">
      <c r="A440" s="7" t="s">
        <v>529</v>
      </c>
      <c r="B440" s="4">
        <v>45413</v>
      </c>
      <c r="C440" s="3" t="s">
        <v>33</v>
      </c>
      <c r="D440" s="3" t="s">
        <v>40</v>
      </c>
      <c r="E440" s="3" t="s">
        <v>105</v>
      </c>
      <c r="F440" s="5">
        <v>397.66</v>
      </c>
      <c r="G440" s="3" t="s">
        <v>27</v>
      </c>
      <c r="H440" s="3" t="s">
        <v>14</v>
      </c>
      <c r="I440" s="8">
        <f t="shared" si="6"/>
        <v>45413</v>
      </c>
    </row>
    <row r="441" spans="1:9" x14ac:dyDescent="0.25">
      <c r="A441" s="7" t="s">
        <v>530</v>
      </c>
      <c r="B441" s="4">
        <v>45414</v>
      </c>
      <c r="C441" s="3" t="s">
        <v>16</v>
      </c>
      <c r="D441" s="3" t="s">
        <v>36</v>
      </c>
      <c r="E441" s="3" t="s">
        <v>145</v>
      </c>
      <c r="F441" s="5">
        <v>173.88</v>
      </c>
      <c r="G441" s="3" t="s">
        <v>27</v>
      </c>
      <c r="H441" s="3" t="s">
        <v>20</v>
      </c>
      <c r="I441" s="8">
        <f t="shared" si="6"/>
        <v>45413</v>
      </c>
    </row>
    <row r="442" spans="1:9" x14ac:dyDescent="0.25">
      <c r="A442" s="7" t="s">
        <v>531</v>
      </c>
      <c r="B442" s="4">
        <v>45414</v>
      </c>
      <c r="C442" s="3" t="s">
        <v>33</v>
      </c>
      <c r="D442" s="3" t="s">
        <v>30</v>
      </c>
      <c r="E442" s="3" t="s">
        <v>34</v>
      </c>
      <c r="F442" s="5">
        <v>345.53</v>
      </c>
      <c r="G442" s="3" t="s">
        <v>24</v>
      </c>
      <c r="H442" s="3" t="s">
        <v>14</v>
      </c>
      <c r="I442" s="8">
        <f t="shared" si="6"/>
        <v>45413</v>
      </c>
    </row>
    <row r="443" spans="1:9" x14ac:dyDescent="0.25">
      <c r="A443" s="7" t="s">
        <v>532</v>
      </c>
      <c r="B443" s="4">
        <v>45414</v>
      </c>
      <c r="C443" s="3" t="s">
        <v>33</v>
      </c>
      <c r="D443" s="3" t="s">
        <v>50</v>
      </c>
      <c r="E443" s="3" t="s">
        <v>62</v>
      </c>
      <c r="F443" s="5">
        <v>115.92</v>
      </c>
      <c r="G443" s="3" t="s">
        <v>24</v>
      </c>
      <c r="H443" s="3" t="s">
        <v>14</v>
      </c>
      <c r="I443" s="8">
        <f t="shared" si="6"/>
        <v>45413</v>
      </c>
    </row>
    <row r="444" spans="1:9" x14ac:dyDescent="0.25">
      <c r="A444" s="7" t="s">
        <v>533</v>
      </c>
      <c r="B444" s="4">
        <v>45414</v>
      </c>
      <c r="C444" s="3" t="s">
        <v>54</v>
      </c>
      <c r="D444" s="3" t="s">
        <v>22</v>
      </c>
      <c r="E444" s="3" t="s">
        <v>75</v>
      </c>
      <c r="F444" s="5">
        <v>884.68</v>
      </c>
      <c r="G444" s="3" t="s">
        <v>19</v>
      </c>
      <c r="H444" s="3" t="s">
        <v>14</v>
      </c>
      <c r="I444" s="8">
        <f t="shared" si="6"/>
        <v>45413</v>
      </c>
    </row>
    <row r="445" spans="1:9" x14ac:dyDescent="0.25">
      <c r="A445" s="7" t="s">
        <v>534</v>
      </c>
      <c r="B445" s="4">
        <v>45414</v>
      </c>
      <c r="C445" s="3" t="s">
        <v>16</v>
      </c>
      <c r="D445" s="3" t="s">
        <v>82</v>
      </c>
      <c r="E445" s="3" t="s">
        <v>216</v>
      </c>
      <c r="F445" s="5">
        <v>1670.69</v>
      </c>
      <c r="G445" s="3" t="s">
        <v>27</v>
      </c>
      <c r="H445" s="3" t="s">
        <v>20</v>
      </c>
      <c r="I445" s="8">
        <f t="shared" si="6"/>
        <v>45413</v>
      </c>
    </row>
    <row r="446" spans="1:9" x14ac:dyDescent="0.25">
      <c r="A446" s="7" t="s">
        <v>535</v>
      </c>
      <c r="B446" s="4">
        <v>45414</v>
      </c>
      <c r="C446" s="3" t="s">
        <v>39</v>
      </c>
      <c r="D446" s="3" t="s">
        <v>17</v>
      </c>
      <c r="E446" s="3" t="s">
        <v>154</v>
      </c>
      <c r="F446" s="5">
        <v>1459.17</v>
      </c>
      <c r="G446" s="3" t="s">
        <v>19</v>
      </c>
      <c r="H446" s="3" t="s">
        <v>20</v>
      </c>
      <c r="I446" s="8">
        <f t="shared" si="6"/>
        <v>45413</v>
      </c>
    </row>
    <row r="447" spans="1:9" x14ac:dyDescent="0.25">
      <c r="A447" s="7" t="s">
        <v>536</v>
      </c>
      <c r="B447" s="4">
        <v>45414</v>
      </c>
      <c r="C447" s="3" t="s">
        <v>16</v>
      </c>
      <c r="D447" s="3" t="s">
        <v>55</v>
      </c>
      <c r="E447" s="3" t="s">
        <v>537</v>
      </c>
      <c r="F447" s="5">
        <v>514.79999999999995</v>
      </c>
      <c r="G447" s="3" t="s">
        <v>27</v>
      </c>
      <c r="H447" s="3" t="s">
        <v>14</v>
      </c>
      <c r="I447" s="8">
        <f t="shared" si="6"/>
        <v>45413</v>
      </c>
    </row>
    <row r="448" spans="1:9" x14ac:dyDescent="0.25">
      <c r="A448" s="7" t="s">
        <v>538</v>
      </c>
      <c r="B448" s="4">
        <v>45414</v>
      </c>
      <c r="C448" s="3" t="s">
        <v>29</v>
      </c>
      <c r="D448" s="3" t="s">
        <v>30</v>
      </c>
      <c r="E448" s="3" t="s">
        <v>65</v>
      </c>
      <c r="F448" s="5">
        <v>312.05</v>
      </c>
      <c r="G448" s="3" t="s">
        <v>19</v>
      </c>
      <c r="H448" s="3" t="s">
        <v>14</v>
      </c>
      <c r="I448" s="8">
        <f t="shared" si="6"/>
        <v>45413</v>
      </c>
    </row>
    <row r="449" spans="1:9" x14ac:dyDescent="0.25">
      <c r="A449" s="7" t="s">
        <v>539</v>
      </c>
      <c r="B449" s="4">
        <v>45415</v>
      </c>
      <c r="C449" s="3" t="s">
        <v>39</v>
      </c>
      <c r="D449" s="3" t="s">
        <v>43</v>
      </c>
      <c r="E449" s="3" t="s">
        <v>44</v>
      </c>
      <c r="F449" s="5">
        <v>389.99</v>
      </c>
      <c r="G449" s="3" t="s">
        <v>86</v>
      </c>
      <c r="H449" s="3" t="s">
        <v>14</v>
      </c>
      <c r="I449" s="8">
        <f t="shared" si="6"/>
        <v>45413</v>
      </c>
    </row>
    <row r="450" spans="1:9" x14ac:dyDescent="0.25">
      <c r="A450" s="7" t="s">
        <v>540</v>
      </c>
      <c r="B450" s="4">
        <v>45415</v>
      </c>
      <c r="C450" s="3" t="s">
        <v>10</v>
      </c>
      <c r="D450" s="3" t="s">
        <v>114</v>
      </c>
      <c r="E450" s="3" t="s">
        <v>115</v>
      </c>
      <c r="F450" s="5">
        <v>463.45</v>
      </c>
      <c r="G450" s="3" t="s">
        <v>24</v>
      </c>
      <c r="H450" s="3" t="s">
        <v>14</v>
      </c>
      <c r="I450" s="8">
        <f t="shared" si="6"/>
        <v>45413</v>
      </c>
    </row>
    <row r="451" spans="1:9" x14ac:dyDescent="0.25">
      <c r="A451" s="7" t="s">
        <v>541</v>
      </c>
      <c r="B451" s="4">
        <v>45415</v>
      </c>
      <c r="C451" s="3" t="s">
        <v>54</v>
      </c>
      <c r="D451" s="3" t="s">
        <v>22</v>
      </c>
      <c r="E451" s="3" t="s">
        <v>75</v>
      </c>
      <c r="F451" s="5">
        <v>1312.84</v>
      </c>
      <c r="G451" s="3" t="s">
        <v>19</v>
      </c>
      <c r="H451" s="3" t="s">
        <v>14</v>
      </c>
      <c r="I451" s="8">
        <f t="shared" si="6"/>
        <v>45413</v>
      </c>
    </row>
    <row r="452" spans="1:9" x14ac:dyDescent="0.25">
      <c r="A452" s="7" t="s">
        <v>542</v>
      </c>
      <c r="B452" s="4">
        <v>45415</v>
      </c>
      <c r="C452" s="3" t="s">
        <v>16</v>
      </c>
      <c r="D452" s="3" t="s">
        <v>17</v>
      </c>
      <c r="E452" s="3" t="s">
        <v>136</v>
      </c>
      <c r="F452" s="5">
        <v>392.57</v>
      </c>
      <c r="G452" s="3" t="s">
        <v>24</v>
      </c>
      <c r="H452" s="3" t="s">
        <v>20</v>
      </c>
      <c r="I452" s="8">
        <f t="shared" si="6"/>
        <v>45413</v>
      </c>
    </row>
    <row r="453" spans="1:9" x14ac:dyDescent="0.25">
      <c r="A453" s="7" t="s">
        <v>543</v>
      </c>
      <c r="B453" s="4">
        <v>45415</v>
      </c>
      <c r="C453" s="3" t="s">
        <v>39</v>
      </c>
      <c r="D453" s="3" t="s">
        <v>82</v>
      </c>
      <c r="E453" s="3" t="s">
        <v>83</v>
      </c>
      <c r="F453" s="5">
        <v>1798.99</v>
      </c>
      <c r="G453" s="3" t="s">
        <v>27</v>
      </c>
      <c r="H453" s="3" t="s">
        <v>14</v>
      </c>
      <c r="I453" s="8">
        <f t="shared" ref="I453:I516" si="7">DATE(YEAR(B453),MONTH(B453),1)</f>
        <v>45413</v>
      </c>
    </row>
    <row r="454" spans="1:9" x14ac:dyDescent="0.25">
      <c r="A454" s="7" t="s">
        <v>544</v>
      </c>
      <c r="B454" s="4">
        <v>45415</v>
      </c>
      <c r="C454" s="3" t="s">
        <v>10</v>
      </c>
      <c r="D454" s="3" t="s">
        <v>17</v>
      </c>
      <c r="E454" s="3" t="s">
        <v>80</v>
      </c>
      <c r="F454" s="5">
        <v>780.14</v>
      </c>
      <c r="G454" s="3" t="s">
        <v>24</v>
      </c>
      <c r="H454" s="3" t="s">
        <v>14</v>
      </c>
      <c r="I454" s="8">
        <f t="shared" si="7"/>
        <v>45413</v>
      </c>
    </row>
    <row r="455" spans="1:9" x14ac:dyDescent="0.25">
      <c r="A455" s="7" t="s">
        <v>545</v>
      </c>
      <c r="B455" s="4">
        <v>45416</v>
      </c>
      <c r="C455" s="3" t="s">
        <v>29</v>
      </c>
      <c r="D455" s="3" t="s">
        <v>40</v>
      </c>
      <c r="E455" s="3" t="s">
        <v>130</v>
      </c>
      <c r="F455" s="5">
        <v>843.87</v>
      </c>
      <c r="G455" s="3" t="s">
        <v>19</v>
      </c>
      <c r="H455" s="3" t="s">
        <v>14</v>
      </c>
      <c r="I455" s="8">
        <f t="shared" si="7"/>
        <v>45413</v>
      </c>
    </row>
    <row r="456" spans="1:9" x14ac:dyDescent="0.25">
      <c r="A456" s="7" t="s">
        <v>546</v>
      </c>
      <c r="B456" s="4">
        <v>45416</v>
      </c>
      <c r="C456" s="3" t="s">
        <v>49</v>
      </c>
      <c r="D456" s="3" t="s">
        <v>30</v>
      </c>
      <c r="E456" s="3" t="s">
        <v>60</v>
      </c>
      <c r="F456" s="5">
        <v>53.39</v>
      </c>
      <c r="G456" s="3" t="s">
        <v>24</v>
      </c>
      <c r="H456" s="3" t="s">
        <v>14</v>
      </c>
      <c r="I456" s="8">
        <f t="shared" si="7"/>
        <v>45413</v>
      </c>
    </row>
    <row r="457" spans="1:9" x14ac:dyDescent="0.25">
      <c r="A457" s="7" t="s">
        <v>547</v>
      </c>
      <c r="B457" s="4">
        <v>45416</v>
      </c>
      <c r="C457" s="3" t="s">
        <v>49</v>
      </c>
      <c r="D457" s="3" t="s">
        <v>50</v>
      </c>
      <c r="E457" s="3" t="s">
        <v>62</v>
      </c>
      <c r="F457" s="5">
        <v>58.18</v>
      </c>
      <c r="G457" s="3" t="s">
        <v>52</v>
      </c>
      <c r="H457" s="3" t="s">
        <v>14</v>
      </c>
      <c r="I457" s="8">
        <f t="shared" si="7"/>
        <v>45413</v>
      </c>
    </row>
    <row r="458" spans="1:9" x14ac:dyDescent="0.25">
      <c r="A458" s="7" t="s">
        <v>548</v>
      </c>
      <c r="B458" s="4">
        <v>45416</v>
      </c>
      <c r="C458" s="3" t="s">
        <v>54</v>
      </c>
      <c r="D458" s="3" t="s">
        <v>114</v>
      </c>
      <c r="E458" s="3" t="s">
        <v>117</v>
      </c>
      <c r="F458" s="5">
        <v>936.3</v>
      </c>
      <c r="G458" s="3" t="s">
        <v>19</v>
      </c>
      <c r="H458" s="3" t="s">
        <v>14</v>
      </c>
      <c r="I458" s="8">
        <f t="shared" si="7"/>
        <v>45413</v>
      </c>
    </row>
    <row r="459" spans="1:9" x14ac:dyDescent="0.25">
      <c r="A459" s="7" t="s">
        <v>549</v>
      </c>
      <c r="B459" s="4">
        <v>45416</v>
      </c>
      <c r="C459" s="3" t="s">
        <v>54</v>
      </c>
      <c r="D459" s="3" t="s">
        <v>30</v>
      </c>
      <c r="E459" s="3" t="s">
        <v>31</v>
      </c>
      <c r="F459" s="5">
        <v>334.78</v>
      </c>
      <c r="G459" s="3" t="s">
        <v>19</v>
      </c>
      <c r="H459" s="3" t="s">
        <v>20</v>
      </c>
      <c r="I459" s="8">
        <f t="shared" si="7"/>
        <v>45413</v>
      </c>
    </row>
    <row r="460" spans="1:9" x14ac:dyDescent="0.25">
      <c r="A460" s="7" t="s">
        <v>550</v>
      </c>
      <c r="B460" s="4">
        <v>45417</v>
      </c>
      <c r="C460" s="3" t="s">
        <v>10</v>
      </c>
      <c r="D460" s="3" t="s">
        <v>30</v>
      </c>
      <c r="E460" s="3" t="s">
        <v>169</v>
      </c>
      <c r="F460" s="5">
        <v>67.11</v>
      </c>
      <c r="G460" s="3" t="s">
        <v>24</v>
      </c>
      <c r="H460" s="3" t="s">
        <v>14</v>
      </c>
      <c r="I460" s="8">
        <f t="shared" si="7"/>
        <v>45413</v>
      </c>
    </row>
    <row r="461" spans="1:9" x14ac:dyDescent="0.25">
      <c r="A461" s="7" t="s">
        <v>551</v>
      </c>
      <c r="B461" s="4">
        <v>45417</v>
      </c>
      <c r="C461" s="3" t="s">
        <v>22</v>
      </c>
      <c r="D461" s="3" t="s">
        <v>22</v>
      </c>
      <c r="E461" s="3" t="s">
        <v>26</v>
      </c>
      <c r="F461" s="5">
        <v>1823.03</v>
      </c>
      <c r="G461" s="3" t="s">
        <v>27</v>
      </c>
      <c r="H461" s="3" t="s">
        <v>14</v>
      </c>
      <c r="I461" s="8">
        <f t="shared" si="7"/>
        <v>45413</v>
      </c>
    </row>
    <row r="462" spans="1:9" x14ac:dyDescent="0.25">
      <c r="A462" s="7" t="s">
        <v>552</v>
      </c>
      <c r="B462" s="4">
        <v>45418</v>
      </c>
      <c r="C462" s="3" t="s">
        <v>39</v>
      </c>
      <c r="D462" s="3" t="s">
        <v>40</v>
      </c>
      <c r="E462" s="3" t="s">
        <v>130</v>
      </c>
      <c r="F462" s="5">
        <v>595.49</v>
      </c>
      <c r="G462" s="3" t="s">
        <v>27</v>
      </c>
      <c r="H462" s="3" t="s">
        <v>14</v>
      </c>
      <c r="I462" s="8">
        <f t="shared" si="7"/>
        <v>45413</v>
      </c>
    </row>
    <row r="463" spans="1:9" x14ac:dyDescent="0.25">
      <c r="A463" s="7" t="s">
        <v>553</v>
      </c>
      <c r="B463" s="4">
        <v>45418</v>
      </c>
      <c r="C463" s="3" t="s">
        <v>39</v>
      </c>
      <c r="D463" s="3" t="s">
        <v>50</v>
      </c>
      <c r="E463" s="3" t="s">
        <v>51</v>
      </c>
      <c r="F463" s="5">
        <v>140.27000000000001</v>
      </c>
      <c r="G463" s="3" t="s">
        <v>24</v>
      </c>
      <c r="H463" s="3" t="s">
        <v>20</v>
      </c>
      <c r="I463" s="8">
        <f t="shared" si="7"/>
        <v>45413</v>
      </c>
    </row>
    <row r="464" spans="1:9" x14ac:dyDescent="0.25">
      <c r="A464" s="7" t="s">
        <v>554</v>
      </c>
      <c r="B464" s="4">
        <v>45418</v>
      </c>
      <c r="C464" s="3" t="s">
        <v>49</v>
      </c>
      <c r="D464" s="3" t="s">
        <v>46</v>
      </c>
      <c r="E464" s="3" t="s">
        <v>187</v>
      </c>
      <c r="F464" s="5">
        <v>437.75</v>
      </c>
      <c r="G464" s="3" t="s">
        <v>13</v>
      </c>
      <c r="H464" s="3" t="s">
        <v>20</v>
      </c>
      <c r="I464" s="8">
        <f t="shared" si="7"/>
        <v>45413</v>
      </c>
    </row>
    <row r="465" spans="1:9" x14ac:dyDescent="0.25">
      <c r="A465" s="7" t="s">
        <v>555</v>
      </c>
      <c r="B465" s="4">
        <v>45418</v>
      </c>
      <c r="C465" s="3" t="s">
        <v>29</v>
      </c>
      <c r="D465" s="3" t="s">
        <v>17</v>
      </c>
      <c r="E465" s="3" t="s">
        <v>136</v>
      </c>
      <c r="F465" s="5">
        <v>276.13</v>
      </c>
      <c r="G465" s="3" t="s">
        <v>24</v>
      </c>
      <c r="H465" s="3" t="s">
        <v>20</v>
      </c>
      <c r="I465" s="8">
        <f t="shared" si="7"/>
        <v>45413</v>
      </c>
    </row>
    <row r="466" spans="1:9" x14ac:dyDescent="0.25">
      <c r="A466" s="7" t="s">
        <v>556</v>
      </c>
      <c r="B466" s="4">
        <v>45418</v>
      </c>
      <c r="C466" s="3" t="s">
        <v>10</v>
      </c>
      <c r="D466" s="3" t="s">
        <v>46</v>
      </c>
      <c r="E466" s="3" t="s">
        <v>47</v>
      </c>
      <c r="F466" s="5">
        <v>399.6</v>
      </c>
      <c r="G466" s="3" t="s">
        <v>86</v>
      </c>
      <c r="H466" s="3" t="s">
        <v>20</v>
      </c>
      <c r="I466" s="8">
        <f t="shared" si="7"/>
        <v>45413</v>
      </c>
    </row>
    <row r="467" spans="1:9" x14ac:dyDescent="0.25">
      <c r="A467" s="7" t="s">
        <v>557</v>
      </c>
      <c r="B467" s="4">
        <v>45419</v>
      </c>
      <c r="C467" s="3" t="s">
        <v>39</v>
      </c>
      <c r="D467" s="3" t="s">
        <v>50</v>
      </c>
      <c r="E467" s="3" t="s">
        <v>70</v>
      </c>
      <c r="F467" s="5">
        <v>68.77</v>
      </c>
      <c r="G467" s="3" t="s">
        <v>52</v>
      </c>
      <c r="H467" s="3" t="s">
        <v>20</v>
      </c>
      <c r="I467" s="8">
        <f t="shared" si="7"/>
        <v>45413</v>
      </c>
    </row>
    <row r="468" spans="1:9" x14ac:dyDescent="0.25">
      <c r="A468" s="7" t="s">
        <v>558</v>
      </c>
      <c r="B468" s="4">
        <v>45419</v>
      </c>
      <c r="C468" s="3" t="s">
        <v>16</v>
      </c>
      <c r="D468" s="3" t="s">
        <v>55</v>
      </c>
      <c r="E468" s="3" t="s">
        <v>95</v>
      </c>
      <c r="F468" s="5">
        <v>599.29999999999995</v>
      </c>
      <c r="G468" s="3" t="s">
        <v>19</v>
      </c>
      <c r="H468" s="3" t="s">
        <v>14</v>
      </c>
      <c r="I468" s="8">
        <f t="shared" si="7"/>
        <v>45413</v>
      </c>
    </row>
    <row r="469" spans="1:9" x14ac:dyDescent="0.25">
      <c r="A469" s="7" t="s">
        <v>559</v>
      </c>
      <c r="B469" s="4">
        <v>45419</v>
      </c>
      <c r="C469" s="3" t="s">
        <v>33</v>
      </c>
      <c r="D469" s="3" t="s">
        <v>40</v>
      </c>
      <c r="E469" s="3" t="s">
        <v>182</v>
      </c>
      <c r="F469" s="5">
        <v>394.39</v>
      </c>
      <c r="G469" s="3" t="s">
        <v>27</v>
      </c>
      <c r="H469" s="3" t="s">
        <v>20</v>
      </c>
      <c r="I469" s="8">
        <f t="shared" si="7"/>
        <v>45413</v>
      </c>
    </row>
    <row r="470" spans="1:9" x14ac:dyDescent="0.25">
      <c r="A470" s="7" t="s">
        <v>560</v>
      </c>
      <c r="B470" s="4">
        <v>45419</v>
      </c>
      <c r="C470" s="3" t="s">
        <v>33</v>
      </c>
      <c r="D470" s="3" t="s">
        <v>40</v>
      </c>
      <c r="E470" s="3" t="s">
        <v>182</v>
      </c>
      <c r="F470" s="5">
        <v>339.73</v>
      </c>
      <c r="G470" s="3" t="s">
        <v>27</v>
      </c>
      <c r="H470" s="3" t="s">
        <v>14</v>
      </c>
      <c r="I470" s="8">
        <f t="shared" si="7"/>
        <v>45413</v>
      </c>
    </row>
    <row r="471" spans="1:9" x14ac:dyDescent="0.25">
      <c r="A471" s="7" t="s">
        <v>561</v>
      </c>
      <c r="B471" s="4">
        <v>45420</v>
      </c>
      <c r="C471" s="3" t="s">
        <v>22</v>
      </c>
      <c r="D471" s="3" t="s">
        <v>36</v>
      </c>
      <c r="E471" s="3" t="s">
        <v>145</v>
      </c>
      <c r="F471" s="5">
        <v>176.61</v>
      </c>
      <c r="G471" s="3" t="s">
        <v>27</v>
      </c>
      <c r="H471" s="3" t="s">
        <v>14</v>
      </c>
      <c r="I471" s="8">
        <f t="shared" si="7"/>
        <v>45413</v>
      </c>
    </row>
    <row r="472" spans="1:9" x14ac:dyDescent="0.25">
      <c r="A472" s="7" t="s">
        <v>562</v>
      </c>
      <c r="B472" s="4">
        <v>45420</v>
      </c>
      <c r="C472" s="3" t="s">
        <v>49</v>
      </c>
      <c r="D472" s="3" t="s">
        <v>55</v>
      </c>
      <c r="E472" s="3" t="s">
        <v>142</v>
      </c>
      <c r="F472" s="5">
        <v>1284.3699999999999</v>
      </c>
      <c r="G472" s="3" t="s">
        <v>19</v>
      </c>
      <c r="H472" s="3" t="s">
        <v>14</v>
      </c>
      <c r="I472" s="8">
        <f t="shared" si="7"/>
        <v>45413</v>
      </c>
    </row>
    <row r="473" spans="1:9" x14ac:dyDescent="0.25">
      <c r="A473" s="7" t="s">
        <v>563</v>
      </c>
      <c r="B473" s="4">
        <v>45420</v>
      </c>
      <c r="C473" s="3" t="s">
        <v>49</v>
      </c>
      <c r="D473" s="3" t="s">
        <v>40</v>
      </c>
      <c r="E473" s="3" t="s">
        <v>105</v>
      </c>
      <c r="F473" s="5">
        <v>163.44999999999999</v>
      </c>
      <c r="G473" s="3" t="s">
        <v>19</v>
      </c>
      <c r="H473" s="3" t="s">
        <v>14</v>
      </c>
      <c r="I473" s="8">
        <f t="shared" si="7"/>
        <v>45413</v>
      </c>
    </row>
    <row r="474" spans="1:9" x14ac:dyDescent="0.25">
      <c r="A474" s="7" t="s">
        <v>564</v>
      </c>
      <c r="B474" s="4">
        <v>45421</v>
      </c>
      <c r="C474" s="3" t="s">
        <v>49</v>
      </c>
      <c r="D474" s="3" t="s">
        <v>43</v>
      </c>
      <c r="E474" s="3" t="s">
        <v>336</v>
      </c>
      <c r="F474" s="5">
        <v>132.04</v>
      </c>
      <c r="G474" s="3" t="s">
        <v>86</v>
      </c>
      <c r="H474" s="3" t="s">
        <v>14</v>
      </c>
      <c r="I474" s="8">
        <f t="shared" si="7"/>
        <v>45413</v>
      </c>
    </row>
    <row r="475" spans="1:9" x14ac:dyDescent="0.25">
      <c r="A475" s="7" t="s">
        <v>565</v>
      </c>
      <c r="B475" s="4">
        <v>45421</v>
      </c>
      <c r="C475" s="3" t="s">
        <v>39</v>
      </c>
      <c r="D475" s="3" t="s">
        <v>55</v>
      </c>
      <c r="E475" s="3" t="s">
        <v>400</v>
      </c>
      <c r="F475" s="5">
        <v>1566.67</v>
      </c>
      <c r="G475" s="3" t="s">
        <v>27</v>
      </c>
      <c r="H475" s="3" t="s">
        <v>14</v>
      </c>
      <c r="I475" s="8">
        <f t="shared" si="7"/>
        <v>45413</v>
      </c>
    </row>
    <row r="476" spans="1:9" x14ac:dyDescent="0.25">
      <c r="A476" s="7" t="s">
        <v>566</v>
      </c>
      <c r="B476" s="4">
        <v>45421</v>
      </c>
      <c r="C476" s="3" t="s">
        <v>49</v>
      </c>
      <c r="D476" s="3" t="s">
        <v>55</v>
      </c>
      <c r="E476" s="3" t="s">
        <v>142</v>
      </c>
      <c r="F476" s="5">
        <v>886.27</v>
      </c>
      <c r="G476" s="3" t="s">
        <v>27</v>
      </c>
      <c r="H476" s="3" t="s">
        <v>14</v>
      </c>
      <c r="I476" s="8">
        <f t="shared" si="7"/>
        <v>45413</v>
      </c>
    </row>
    <row r="477" spans="1:9" x14ac:dyDescent="0.25">
      <c r="A477" s="7" t="s">
        <v>567</v>
      </c>
      <c r="B477" s="4">
        <v>45422</v>
      </c>
      <c r="C477" s="3" t="s">
        <v>49</v>
      </c>
      <c r="D477" s="3" t="s">
        <v>17</v>
      </c>
      <c r="E477" s="3" t="s">
        <v>136</v>
      </c>
      <c r="F477" s="5">
        <v>1439.43</v>
      </c>
      <c r="G477" s="3" t="s">
        <v>19</v>
      </c>
      <c r="H477" s="3" t="s">
        <v>14</v>
      </c>
      <c r="I477" s="8">
        <f t="shared" si="7"/>
        <v>45413</v>
      </c>
    </row>
    <row r="478" spans="1:9" x14ac:dyDescent="0.25">
      <c r="A478" s="7" t="s">
        <v>568</v>
      </c>
      <c r="B478" s="4">
        <v>45422</v>
      </c>
      <c r="C478" s="3" t="s">
        <v>54</v>
      </c>
      <c r="D478" s="3" t="s">
        <v>22</v>
      </c>
      <c r="E478" s="3" t="s">
        <v>244</v>
      </c>
      <c r="F478" s="5">
        <v>1698.64</v>
      </c>
      <c r="G478" s="3" t="s">
        <v>19</v>
      </c>
      <c r="H478" s="3" t="s">
        <v>20</v>
      </c>
      <c r="I478" s="8">
        <f t="shared" si="7"/>
        <v>45413</v>
      </c>
    </row>
    <row r="479" spans="1:9" x14ac:dyDescent="0.25">
      <c r="A479" s="7" t="s">
        <v>569</v>
      </c>
      <c r="B479" s="4">
        <v>45422</v>
      </c>
      <c r="C479" s="3" t="s">
        <v>29</v>
      </c>
      <c r="D479" s="3" t="s">
        <v>50</v>
      </c>
      <c r="E479" s="3" t="s">
        <v>166</v>
      </c>
      <c r="F479" s="5">
        <v>41.07</v>
      </c>
      <c r="G479" s="3" t="s">
        <v>24</v>
      </c>
      <c r="H479" s="3" t="s">
        <v>14</v>
      </c>
      <c r="I479" s="8">
        <f t="shared" si="7"/>
        <v>45413</v>
      </c>
    </row>
    <row r="480" spans="1:9" x14ac:dyDescent="0.25">
      <c r="A480" s="7" t="s">
        <v>570</v>
      </c>
      <c r="B480" s="4">
        <v>45423</v>
      </c>
      <c r="C480" s="3" t="s">
        <v>22</v>
      </c>
      <c r="D480" s="3" t="s">
        <v>50</v>
      </c>
      <c r="E480" s="3" t="s">
        <v>70</v>
      </c>
      <c r="F480" s="5">
        <v>123.36</v>
      </c>
      <c r="G480" s="3" t="s">
        <v>24</v>
      </c>
      <c r="H480" s="3" t="s">
        <v>14</v>
      </c>
      <c r="I480" s="8">
        <f t="shared" si="7"/>
        <v>45413</v>
      </c>
    </row>
    <row r="481" spans="1:9" x14ac:dyDescent="0.25">
      <c r="A481" s="7" t="s">
        <v>571</v>
      </c>
      <c r="B481" s="4">
        <v>45423</v>
      </c>
      <c r="C481" s="3" t="s">
        <v>10</v>
      </c>
      <c r="D481" s="3" t="s">
        <v>36</v>
      </c>
      <c r="E481" s="3" t="s">
        <v>88</v>
      </c>
      <c r="F481" s="5">
        <v>73.59</v>
      </c>
      <c r="G481" s="3" t="s">
        <v>19</v>
      </c>
      <c r="H481" s="3" t="s">
        <v>20</v>
      </c>
      <c r="I481" s="8">
        <f t="shared" si="7"/>
        <v>45413</v>
      </c>
    </row>
    <row r="482" spans="1:9" x14ac:dyDescent="0.25">
      <c r="A482" s="7" t="s">
        <v>572</v>
      </c>
      <c r="B482" s="4">
        <v>45423</v>
      </c>
      <c r="C482" s="3" t="s">
        <v>33</v>
      </c>
      <c r="D482" s="3" t="s">
        <v>30</v>
      </c>
      <c r="E482" s="3" t="s">
        <v>31</v>
      </c>
      <c r="F482" s="5">
        <v>148.54</v>
      </c>
      <c r="G482" s="3" t="s">
        <v>52</v>
      </c>
      <c r="H482" s="3" t="s">
        <v>14</v>
      </c>
      <c r="I482" s="8">
        <f t="shared" si="7"/>
        <v>45413</v>
      </c>
    </row>
    <row r="483" spans="1:9" x14ac:dyDescent="0.25">
      <c r="A483" s="7" t="s">
        <v>573</v>
      </c>
      <c r="B483" s="4">
        <v>45424</v>
      </c>
      <c r="C483" s="3" t="s">
        <v>33</v>
      </c>
      <c r="D483" s="3" t="s">
        <v>50</v>
      </c>
      <c r="E483" s="3" t="s">
        <v>70</v>
      </c>
      <c r="F483" s="5">
        <v>127.37</v>
      </c>
      <c r="G483" s="3" t="s">
        <v>52</v>
      </c>
      <c r="H483" s="3" t="s">
        <v>14</v>
      </c>
      <c r="I483" s="8">
        <f t="shared" si="7"/>
        <v>45413</v>
      </c>
    </row>
    <row r="484" spans="1:9" x14ac:dyDescent="0.25">
      <c r="A484" s="7" t="s">
        <v>574</v>
      </c>
      <c r="B484" s="4">
        <v>45424</v>
      </c>
      <c r="C484" s="3" t="s">
        <v>22</v>
      </c>
      <c r="D484" s="3" t="s">
        <v>50</v>
      </c>
      <c r="E484" s="3" t="s">
        <v>62</v>
      </c>
      <c r="F484" s="5">
        <v>128.51</v>
      </c>
      <c r="G484" s="3" t="s">
        <v>24</v>
      </c>
      <c r="H484" s="3" t="s">
        <v>20</v>
      </c>
      <c r="I484" s="8">
        <f t="shared" si="7"/>
        <v>45413</v>
      </c>
    </row>
    <row r="485" spans="1:9" x14ac:dyDescent="0.25">
      <c r="A485" s="7" t="s">
        <v>575</v>
      </c>
      <c r="B485" s="4">
        <v>45424</v>
      </c>
      <c r="C485" s="3" t="s">
        <v>54</v>
      </c>
      <c r="D485" s="3" t="s">
        <v>17</v>
      </c>
      <c r="E485" s="3" t="s">
        <v>23</v>
      </c>
      <c r="F485" s="5">
        <v>1049.46</v>
      </c>
      <c r="G485" s="3" t="s">
        <v>24</v>
      </c>
      <c r="H485" s="3" t="s">
        <v>14</v>
      </c>
      <c r="I485" s="8">
        <f t="shared" si="7"/>
        <v>45413</v>
      </c>
    </row>
    <row r="486" spans="1:9" x14ac:dyDescent="0.25">
      <c r="A486" s="7" t="s">
        <v>576</v>
      </c>
      <c r="B486" s="4">
        <v>45425</v>
      </c>
      <c r="C486" s="3" t="s">
        <v>10</v>
      </c>
      <c r="D486" s="3" t="s">
        <v>55</v>
      </c>
      <c r="E486" s="3" t="s">
        <v>162</v>
      </c>
      <c r="F486" s="5">
        <v>1769.56</v>
      </c>
      <c r="G486" s="3" t="s">
        <v>19</v>
      </c>
      <c r="H486" s="3" t="s">
        <v>20</v>
      </c>
      <c r="I486" s="8">
        <f t="shared" si="7"/>
        <v>45413</v>
      </c>
    </row>
    <row r="487" spans="1:9" x14ac:dyDescent="0.25">
      <c r="A487" s="7" t="s">
        <v>577</v>
      </c>
      <c r="B487" s="4">
        <v>45425</v>
      </c>
      <c r="C487" s="3" t="s">
        <v>29</v>
      </c>
      <c r="D487" s="3" t="s">
        <v>40</v>
      </c>
      <c r="E487" s="3" t="s">
        <v>148</v>
      </c>
      <c r="F487" s="5">
        <v>345.31</v>
      </c>
      <c r="G487" s="3" t="s">
        <v>27</v>
      </c>
      <c r="H487" s="3" t="s">
        <v>14</v>
      </c>
      <c r="I487" s="8">
        <f t="shared" si="7"/>
        <v>45413</v>
      </c>
    </row>
    <row r="488" spans="1:9" x14ac:dyDescent="0.25">
      <c r="A488" s="7" t="s">
        <v>578</v>
      </c>
      <c r="B488" s="4">
        <v>45425</v>
      </c>
      <c r="C488" s="3" t="s">
        <v>29</v>
      </c>
      <c r="D488" s="3" t="s">
        <v>82</v>
      </c>
      <c r="E488" s="3" t="s">
        <v>83</v>
      </c>
      <c r="F488" s="5">
        <v>2078.46</v>
      </c>
      <c r="G488" s="3" t="s">
        <v>13</v>
      </c>
      <c r="H488" s="3" t="s">
        <v>14</v>
      </c>
      <c r="I488" s="8">
        <f t="shared" si="7"/>
        <v>45413</v>
      </c>
    </row>
    <row r="489" spans="1:9" x14ac:dyDescent="0.25">
      <c r="A489" s="7" t="s">
        <v>579</v>
      </c>
      <c r="B489" s="4">
        <v>45425</v>
      </c>
      <c r="C489" s="3" t="s">
        <v>33</v>
      </c>
      <c r="D489" s="3" t="s">
        <v>40</v>
      </c>
      <c r="E489" s="3" t="s">
        <v>58</v>
      </c>
      <c r="F489" s="5">
        <v>643.54999999999995</v>
      </c>
      <c r="G489" s="3" t="s">
        <v>19</v>
      </c>
      <c r="H489" s="3" t="s">
        <v>14</v>
      </c>
      <c r="I489" s="8">
        <f t="shared" si="7"/>
        <v>45413</v>
      </c>
    </row>
    <row r="490" spans="1:9" x14ac:dyDescent="0.25">
      <c r="A490" s="7" t="s">
        <v>580</v>
      </c>
      <c r="B490" s="4">
        <v>45426</v>
      </c>
      <c r="C490" s="3" t="s">
        <v>16</v>
      </c>
      <c r="D490" s="3" t="s">
        <v>30</v>
      </c>
      <c r="E490" s="3" t="s">
        <v>34</v>
      </c>
      <c r="F490" s="5">
        <v>318.97000000000003</v>
      </c>
      <c r="G490" s="3" t="s">
        <v>24</v>
      </c>
      <c r="H490" s="3" t="s">
        <v>14</v>
      </c>
      <c r="I490" s="8">
        <f t="shared" si="7"/>
        <v>45413</v>
      </c>
    </row>
    <row r="491" spans="1:9" x14ac:dyDescent="0.25">
      <c r="A491" s="7" t="s">
        <v>581</v>
      </c>
      <c r="B491" s="4">
        <v>45426</v>
      </c>
      <c r="C491" s="3" t="s">
        <v>49</v>
      </c>
      <c r="D491" s="3" t="s">
        <v>82</v>
      </c>
      <c r="E491" s="3" t="s">
        <v>103</v>
      </c>
      <c r="F491" s="5">
        <v>2029.65</v>
      </c>
      <c r="G491" s="3" t="s">
        <v>13</v>
      </c>
      <c r="H491" s="3" t="s">
        <v>20</v>
      </c>
      <c r="I491" s="8">
        <f t="shared" si="7"/>
        <v>45413</v>
      </c>
    </row>
    <row r="492" spans="1:9" x14ac:dyDescent="0.25">
      <c r="A492" s="7" t="s">
        <v>582</v>
      </c>
      <c r="B492" s="4">
        <v>45426</v>
      </c>
      <c r="C492" s="3" t="s">
        <v>54</v>
      </c>
      <c r="D492" s="3" t="s">
        <v>30</v>
      </c>
      <c r="E492" s="3" t="s">
        <v>185</v>
      </c>
      <c r="F492" s="5">
        <v>239.71</v>
      </c>
      <c r="G492" s="3" t="s">
        <v>19</v>
      </c>
      <c r="H492" s="3" t="s">
        <v>14</v>
      </c>
      <c r="I492" s="8">
        <f t="shared" si="7"/>
        <v>45413</v>
      </c>
    </row>
    <row r="493" spans="1:9" x14ac:dyDescent="0.25">
      <c r="A493" s="7" t="s">
        <v>583</v>
      </c>
      <c r="B493" s="4">
        <v>45427</v>
      </c>
      <c r="C493" s="3" t="s">
        <v>16</v>
      </c>
      <c r="D493" s="3" t="s">
        <v>36</v>
      </c>
      <c r="E493" s="3" t="s">
        <v>238</v>
      </c>
      <c r="F493" s="5">
        <v>101.4</v>
      </c>
      <c r="G493" s="3" t="s">
        <v>27</v>
      </c>
      <c r="H493" s="3" t="s">
        <v>20</v>
      </c>
      <c r="I493" s="8">
        <f t="shared" si="7"/>
        <v>45413</v>
      </c>
    </row>
    <row r="494" spans="1:9" x14ac:dyDescent="0.25">
      <c r="A494" s="7" t="s">
        <v>584</v>
      </c>
      <c r="B494" s="4">
        <v>45427</v>
      </c>
      <c r="C494" s="3" t="s">
        <v>29</v>
      </c>
      <c r="D494" s="3" t="s">
        <v>17</v>
      </c>
      <c r="E494" s="3" t="s">
        <v>68</v>
      </c>
      <c r="F494" s="5">
        <v>959.84</v>
      </c>
      <c r="G494" s="3" t="s">
        <v>24</v>
      </c>
      <c r="H494" s="3" t="s">
        <v>14</v>
      </c>
      <c r="I494" s="8">
        <f t="shared" si="7"/>
        <v>45413</v>
      </c>
    </row>
    <row r="495" spans="1:9" x14ac:dyDescent="0.25">
      <c r="A495" s="7" t="s">
        <v>585</v>
      </c>
      <c r="B495" s="4">
        <v>45428</v>
      </c>
      <c r="C495" s="3" t="s">
        <v>29</v>
      </c>
      <c r="D495" s="3" t="s">
        <v>50</v>
      </c>
      <c r="E495" s="3" t="s">
        <v>62</v>
      </c>
      <c r="F495" s="5">
        <v>9.85</v>
      </c>
      <c r="G495" s="3" t="s">
        <v>24</v>
      </c>
      <c r="H495" s="3" t="s">
        <v>20</v>
      </c>
      <c r="I495" s="8">
        <f t="shared" si="7"/>
        <v>45413</v>
      </c>
    </row>
    <row r="496" spans="1:9" x14ac:dyDescent="0.25">
      <c r="A496" s="7" t="s">
        <v>586</v>
      </c>
      <c r="B496" s="4">
        <v>45428</v>
      </c>
      <c r="C496" s="3" t="s">
        <v>22</v>
      </c>
      <c r="D496" s="3" t="s">
        <v>55</v>
      </c>
      <c r="E496" s="3" t="s">
        <v>162</v>
      </c>
      <c r="F496" s="5">
        <v>162.02000000000001</v>
      </c>
      <c r="G496" s="3" t="s">
        <v>27</v>
      </c>
      <c r="H496" s="3" t="s">
        <v>14</v>
      </c>
      <c r="I496" s="8">
        <f t="shared" si="7"/>
        <v>45413</v>
      </c>
    </row>
    <row r="497" spans="1:9" x14ac:dyDescent="0.25">
      <c r="A497" s="7" t="s">
        <v>587</v>
      </c>
      <c r="B497" s="4">
        <v>45428</v>
      </c>
      <c r="C497" s="3" t="s">
        <v>39</v>
      </c>
      <c r="D497" s="3" t="s">
        <v>17</v>
      </c>
      <c r="E497" s="3" t="s">
        <v>23</v>
      </c>
      <c r="F497" s="5">
        <v>322.81</v>
      </c>
      <c r="G497" s="3" t="s">
        <v>19</v>
      </c>
      <c r="H497" s="3" t="s">
        <v>20</v>
      </c>
      <c r="I497" s="8">
        <f t="shared" si="7"/>
        <v>45413</v>
      </c>
    </row>
    <row r="498" spans="1:9" x14ac:dyDescent="0.25">
      <c r="A498" s="7" t="s">
        <v>588</v>
      </c>
      <c r="B498" s="4">
        <v>45429</v>
      </c>
      <c r="C498" s="3" t="s">
        <v>49</v>
      </c>
      <c r="D498" s="3" t="s">
        <v>50</v>
      </c>
      <c r="E498" s="3" t="s">
        <v>70</v>
      </c>
      <c r="F498" s="5">
        <v>62.49</v>
      </c>
      <c r="G498" s="3" t="s">
        <v>24</v>
      </c>
      <c r="H498" s="3" t="s">
        <v>20</v>
      </c>
      <c r="I498" s="8">
        <f t="shared" si="7"/>
        <v>45413</v>
      </c>
    </row>
    <row r="499" spans="1:9" x14ac:dyDescent="0.25">
      <c r="A499" s="7" t="s">
        <v>589</v>
      </c>
      <c r="B499" s="4">
        <v>45429</v>
      </c>
      <c r="C499" s="3" t="s">
        <v>33</v>
      </c>
      <c r="D499" s="3" t="s">
        <v>22</v>
      </c>
      <c r="E499" s="3" t="s">
        <v>75</v>
      </c>
      <c r="F499" s="5">
        <v>2150.7600000000002</v>
      </c>
      <c r="G499" s="3" t="s">
        <v>19</v>
      </c>
      <c r="H499" s="3" t="s">
        <v>14</v>
      </c>
      <c r="I499" s="8">
        <f t="shared" si="7"/>
        <v>45413</v>
      </c>
    </row>
    <row r="500" spans="1:9" x14ac:dyDescent="0.25">
      <c r="A500" s="7" t="s">
        <v>590</v>
      </c>
      <c r="B500" s="4">
        <v>45429</v>
      </c>
      <c r="C500" s="3" t="s">
        <v>49</v>
      </c>
      <c r="D500" s="3" t="s">
        <v>17</v>
      </c>
      <c r="E500" s="3" t="s">
        <v>197</v>
      </c>
      <c r="F500" s="5">
        <v>989.84</v>
      </c>
      <c r="G500" s="3" t="s">
        <v>24</v>
      </c>
      <c r="H500" s="3" t="s">
        <v>20</v>
      </c>
      <c r="I500" s="8">
        <f t="shared" si="7"/>
        <v>45413</v>
      </c>
    </row>
    <row r="501" spans="1:9" x14ac:dyDescent="0.25">
      <c r="A501" s="7" t="s">
        <v>591</v>
      </c>
      <c r="B501" s="4">
        <v>45429</v>
      </c>
      <c r="C501" s="3" t="s">
        <v>16</v>
      </c>
      <c r="D501" s="3" t="s">
        <v>114</v>
      </c>
      <c r="E501" s="3" t="s">
        <v>157</v>
      </c>
      <c r="F501" s="5">
        <v>205.83</v>
      </c>
      <c r="G501" s="3" t="s">
        <v>24</v>
      </c>
      <c r="H501" s="3" t="s">
        <v>14</v>
      </c>
      <c r="I501" s="8">
        <f t="shared" si="7"/>
        <v>45413</v>
      </c>
    </row>
    <row r="502" spans="1:9" x14ac:dyDescent="0.25">
      <c r="A502" s="7" t="s">
        <v>592</v>
      </c>
      <c r="B502" s="4">
        <v>45429</v>
      </c>
      <c r="C502" s="3" t="s">
        <v>49</v>
      </c>
      <c r="D502" s="3" t="s">
        <v>40</v>
      </c>
      <c r="E502" s="3" t="s">
        <v>105</v>
      </c>
      <c r="F502" s="5">
        <v>129.51</v>
      </c>
      <c r="G502" s="3" t="s">
        <v>27</v>
      </c>
      <c r="H502" s="3" t="s">
        <v>14</v>
      </c>
      <c r="I502" s="8">
        <f t="shared" si="7"/>
        <v>45413</v>
      </c>
    </row>
    <row r="503" spans="1:9" x14ac:dyDescent="0.25">
      <c r="A503" s="7" t="s">
        <v>593</v>
      </c>
      <c r="B503" s="4">
        <v>45429</v>
      </c>
      <c r="C503" s="3" t="s">
        <v>10</v>
      </c>
      <c r="D503" s="3" t="s">
        <v>114</v>
      </c>
      <c r="E503" s="3" t="s">
        <v>199</v>
      </c>
      <c r="F503" s="5">
        <v>299.25</v>
      </c>
      <c r="G503" s="3" t="s">
        <v>19</v>
      </c>
      <c r="H503" s="3" t="s">
        <v>20</v>
      </c>
      <c r="I503" s="8">
        <f t="shared" si="7"/>
        <v>45413</v>
      </c>
    </row>
    <row r="504" spans="1:9" x14ac:dyDescent="0.25">
      <c r="A504" s="7" t="s">
        <v>594</v>
      </c>
      <c r="B504" s="4">
        <v>45430</v>
      </c>
      <c r="C504" s="3" t="s">
        <v>49</v>
      </c>
      <c r="D504" s="3" t="s">
        <v>22</v>
      </c>
      <c r="E504" s="3" t="s">
        <v>244</v>
      </c>
      <c r="F504" s="5">
        <v>729.45</v>
      </c>
      <c r="G504" s="3" t="s">
        <v>19</v>
      </c>
      <c r="H504" s="3" t="s">
        <v>14</v>
      </c>
      <c r="I504" s="8">
        <f t="shared" si="7"/>
        <v>45413</v>
      </c>
    </row>
    <row r="505" spans="1:9" x14ac:dyDescent="0.25">
      <c r="A505" s="7" t="s">
        <v>595</v>
      </c>
      <c r="B505" s="4">
        <v>45430</v>
      </c>
      <c r="C505" s="3" t="s">
        <v>39</v>
      </c>
      <c r="D505" s="3" t="s">
        <v>36</v>
      </c>
      <c r="E505" s="3" t="s">
        <v>88</v>
      </c>
      <c r="F505" s="5">
        <v>141.46</v>
      </c>
      <c r="G505" s="3" t="s">
        <v>27</v>
      </c>
      <c r="H505" s="3" t="s">
        <v>14</v>
      </c>
      <c r="I505" s="8">
        <f t="shared" si="7"/>
        <v>45413</v>
      </c>
    </row>
    <row r="506" spans="1:9" x14ac:dyDescent="0.25">
      <c r="A506" s="7" t="s">
        <v>596</v>
      </c>
      <c r="B506" s="4">
        <v>45430</v>
      </c>
      <c r="C506" s="3" t="s">
        <v>54</v>
      </c>
      <c r="D506" s="3" t="s">
        <v>30</v>
      </c>
      <c r="E506" s="3" t="s">
        <v>31</v>
      </c>
      <c r="F506" s="5">
        <v>111.21</v>
      </c>
      <c r="G506" s="3" t="s">
        <v>52</v>
      </c>
      <c r="H506" s="3" t="s">
        <v>14</v>
      </c>
      <c r="I506" s="8">
        <f t="shared" si="7"/>
        <v>45413</v>
      </c>
    </row>
    <row r="507" spans="1:9" x14ac:dyDescent="0.25">
      <c r="A507" s="7" t="s">
        <v>597</v>
      </c>
      <c r="B507" s="4">
        <v>45431</v>
      </c>
      <c r="C507" s="3" t="s">
        <v>16</v>
      </c>
      <c r="D507" s="3" t="s">
        <v>46</v>
      </c>
      <c r="E507" s="3" t="s">
        <v>234</v>
      </c>
      <c r="F507" s="5">
        <v>196.86</v>
      </c>
      <c r="G507" s="3" t="s">
        <v>13</v>
      </c>
      <c r="H507" s="3" t="s">
        <v>14</v>
      </c>
      <c r="I507" s="8">
        <f t="shared" si="7"/>
        <v>45413</v>
      </c>
    </row>
    <row r="508" spans="1:9" x14ac:dyDescent="0.25">
      <c r="A508" s="7" t="s">
        <v>598</v>
      </c>
      <c r="B508" s="4">
        <v>45431</v>
      </c>
      <c r="C508" s="3" t="s">
        <v>10</v>
      </c>
      <c r="D508" s="3" t="s">
        <v>50</v>
      </c>
      <c r="E508" s="3" t="s">
        <v>62</v>
      </c>
      <c r="F508" s="5">
        <v>20.079999999999998</v>
      </c>
      <c r="G508" s="3" t="s">
        <v>52</v>
      </c>
      <c r="H508" s="3" t="s">
        <v>14</v>
      </c>
      <c r="I508" s="8">
        <f t="shared" si="7"/>
        <v>45413</v>
      </c>
    </row>
    <row r="509" spans="1:9" x14ac:dyDescent="0.25">
      <c r="A509" s="7" t="s">
        <v>599</v>
      </c>
      <c r="B509" s="4">
        <v>45431</v>
      </c>
      <c r="C509" s="3" t="s">
        <v>39</v>
      </c>
      <c r="D509" s="3" t="s">
        <v>40</v>
      </c>
      <c r="E509" s="3" t="s">
        <v>105</v>
      </c>
      <c r="F509" s="5">
        <v>520.12</v>
      </c>
      <c r="G509" s="3" t="s">
        <v>27</v>
      </c>
      <c r="H509" s="3" t="s">
        <v>14</v>
      </c>
      <c r="I509" s="8">
        <f t="shared" si="7"/>
        <v>45413</v>
      </c>
    </row>
    <row r="510" spans="1:9" x14ac:dyDescent="0.25">
      <c r="A510" s="7" t="s">
        <v>600</v>
      </c>
      <c r="B510" s="4">
        <v>45431</v>
      </c>
      <c r="C510" s="3" t="s">
        <v>10</v>
      </c>
      <c r="D510" s="3" t="s">
        <v>40</v>
      </c>
      <c r="E510" s="3" t="s">
        <v>58</v>
      </c>
      <c r="F510" s="5">
        <v>107.9</v>
      </c>
      <c r="G510" s="3" t="s">
        <v>27</v>
      </c>
      <c r="H510" s="3" t="s">
        <v>14</v>
      </c>
      <c r="I510" s="8">
        <f t="shared" si="7"/>
        <v>45413</v>
      </c>
    </row>
    <row r="511" spans="1:9" x14ac:dyDescent="0.25">
      <c r="A511" s="7" t="s">
        <v>601</v>
      </c>
      <c r="B511" s="4">
        <v>45431</v>
      </c>
      <c r="C511" s="3" t="s">
        <v>33</v>
      </c>
      <c r="D511" s="3" t="s">
        <v>30</v>
      </c>
      <c r="E511" s="3" t="s">
        <v>65</v>
      </c>
      <c r="F511" s="5">
        <v>24.84</v>
      </c>
      <c r="G511" s="3" t="s">
        <v>24</v>
      </c>
      <c r="H511" s="3" t="s">
        <v>14</v>
      </c>
      <c r="I511" s="8">
        <f t="shared" si="7"/>
        <v>45413</v>
      </c>
    </row>
    <row r="512" spans="1:9" x14ac:dyDescent="0.25">
      <c r="A512" s="7" t="s">
        <v>602</v>
      </c>
      <c r="B512" s="4">
        <v>45431</v>
      </c>
      <c r="C512" s="3" t="s">
        <v>54</v>
      </c>
      <c r="D512" s="3" t="s">
        <v>46</v>
      </c>
      <c r="E512" s="3" t="s">
        <v>47</v>
      </c>
      <c r="F512" s="5">
        <v>267.69</v>
      </c>
      <c r="G512" s="3" t="s">
        <v>13</v>
      </c>
      <c r="H512" s="3" t="s">
        <v>20</v>
      </c>
      <c r="I512" s="8">
        <f t="shared" si="7"/>
        <v>45413</v>
      </c>
    </row>
    <row r="513" spans="1:9" x14ac:dyDescent="0.25">
      <c r="A513" s="7" t="s">
        <v>603</v>
      </c>
      <c r="B513" s="4">
        <v>45432</v>
      </c>
      <c r="C513" s="3" t="s">
        <v>10</v>
      </c>
      <c r="D513" s="3" t="s">
        <v>30</v>
      </c>
      <c r="E513" s="3" t="s">
        <v>214</v>
      </c>
      <c r="F513" s="5">
        <v>56.55</v>
      </c>
      <c r="G513" s="3" t="s">
        <v>24</v>
      </c>
      <c r="H513" s="3" t="s">
        <v>20</v>
      </c>
      <c r="I513" s="8">
        <f t="shared" si="7"/>
        <v>45413</v>
      </c>
    </row>
    <row r="514" spans="1:9" x14ac:dyDescent="0.25">
      <c r="A514" s="7" t="s">
        <v>604</v>
      </c>
      <c r="B514" s="4">
        <v>45433</v>
      </c>
      <c r="C514" s="3" t="s">
        <v>49</v>
      </c>
      <c r="D514" s="3" t="s">
        <v>55</v>
      </c>
      <c r="E514" s="3" t="s">
        <v>400</v>
      </c>
      <c r="F514" s="5">
        <v>278.06</v>
      </c>
      <c r="G514" s="3" t="s">
        <v>27</v>
      </c>
      <c r="H514" s="3" t="s">
        <v>20</v>
      </c>
      <c r="I514" s="8">
        <f t="shared" si="7"/>
        <v>45413</v>
      </c>
    </row>
    <row r="515" spans="1:9" x14ac:dyDescent="0.25">
      <c r="A515" s="7" t="s">
        <v>605</v>
      </c>
      <c r="B515" s="4">
        <v>45433</v>
      </c>
      <c r="C515" s="3" t="s">
        <v>10</v>
      </c>
      <c r="D515" s="3" t="s">
        <v>17</v>
      </c>
      <c r="E515" s="3" t="s">
        <v>197</v>
      </c>
      <c r="F515" s="5">
        <v>1119.81</v>
      </c>
      <c r="G515" s="3" t="s">
        <v>19</v>
      </c>
      <c r="H515" s="3" t="s">
        <v>20</v>
      </c>
      <c r="I515" s="8">
        <f t="shared" si="7"/>
        <v>45413</v>
      </c>
    </row>
    <row r="516" spans="1:9" x14ac:dyDescent="0.25">
      <c r="A516" s="7" t="s">
        <v>606</v>
      </c>
      <c r="B516" s="4">
        <v>45433</v>
      </c>
      <c r="C516" s="3" t="s">
        <v>49</v>
      </c>
      <c r="D516" s="3" t="s">
        <v>43</v>
      </c>
      <c r="E516" s="3" t="s">
        <v>85</v>
      </c>
      <c r="F516" s="5">
        <v>232.71</v>
      </c>
      <c r="G516" s="3" t="s">
        <v>13</v>
      </c>
      <c r="H516" s="3" t="s">
        <v>14</v>
      </c>
      <c r="I516" s="8">
        <f t="shared" si="7"/>
        <v>45413</v>
      </c>
    </row>
    <row r="517" spans="1:9" x14ac:dyDescent="0.25">
      <c r="A517" s="7" t="s">
        <v>607</v>
      </c>
      <c r="B517" s="4">
        <v>45433</v>
      </c>
      <c r="C517" s="3" t="s">
        <v>10</v>
      </c>
      <c r="D517" s="3" t="s">
        <v>50</v>
      </c>
      <c r="E517" s="3" t="s">
        <v>166</v>
      </c>
      <c r="F517" s="5">
        <v>90.76</v>
      </c>
      <c r="G517" s="3" t="s">
        <v>24</v>
      </c>
      <c r="H517" s="3" t="s">
        <v>20</v>
      </c>
      <c r="I517" s="8">
        <f t="shared" ref="I517:I580" si="8">DATE(YEAR(B517),MONTH(B517),1)</f>
        <v>45413</v>
      </c>
    </row>
    <row r="518" spans="1:9" x14ac:dyDescent="0.25">
      <c r="A518" s="7" t="s">
        <v>608</v>
      </c>
      <c r="B518" s="4">
        <v>45433</v>
      </c>
      <c r="C518" s="3" t="s">
        <v>54</v>
      </c>
      <c r="D518" s="3" t="s">
        <v>17</v>
      </c>
      <c r="E518" s="3" t="s">
        <v>68</v>
      </c>
      <c r="F518" s="5">
        <v>692.15</v>
      </c>
      <c r="G518" s="3" t="s">
        <v>24</v>
      </c>
      <c r="H518" s="3" t="s">
        <v>14</v>
      </c>
      <c r="I518" s="8">
        <f t="shared" si="8"/>
        <v>45413</v>
      </c>
    </row>
    <row r="519" spans="1:9" x14ac:dyDescent="0.25">
      <c r="A519" s="7" t="s">
        <v>609</v>
      </c>
      <c r="B519" s="4">
        <v>45434</v>
      </c>
      <c r="C519" s="3" t="s">
        <v>10</v>
      </c>
      <c r="D519" s="3" t="s">
        <v>36</v>
      </c>
      <c r="E519" s="3" t="s">
        <v>145</v>
      </c>
      <c r="F519" s="5">
        <v>52.87</v>
      </c>
      <c r="G519" s="3" t="s">
        <v>19</v>
      </c>
      <c r="H519" s="3" t="s">
        <v>14</v>
      </c>
      <c r="I519" s="8">
        <f t="shared" si="8"/>
        <v>45413</v>
      </c>
    </row>
    <row r="520" spans="1:9" x14ac:dyDescent="0.25">
      <c r="A520" s="7" t="s">
        <v>610</v>
      </c>
      <c r="B520" s="4">
        <v>45434</v>
      </c>
      <c r="C520" s="3" t="s">
        <v>29</v>
      </c>
      <c r="D520" s="3" t="s">
        <v>43</v>
      </c>
      <c r="E520" s="3" t="s">
        <v>85</v>
      </c>
      <c r="F520" s="5">
        <v>370.87</v>
      </c>
      <c r="G520" s="3" t="s">
        <v>86</v>
      </c>
      <c r="H520" s="3" t="s">
        <v>14</v>
      </c>
      <c r="I520" s="8">
        <f t="shared" si="8"/>
        <v>45413</v>
      </c>
    </row>
    <row r="521" spans="1:9" x14ac:dyDescent="0.25">
      <c r="A521" s="7" t="s">
        <v>611</v>
      </c>
      <c r="B521" s="4">
        <v>45434</v>
      </c>
      <c r="C521" s="3" t="s">
        <v>39</v>
      </c>
      <c r="D521" s="3" t="s">
        <v>30</v>
      </c>
      <c r="E521" s="3" t="s">
        <v>185</v>
      </c>
      <c r="F521" s="5">
        <v>333.25</v>
      </c>
      <c r="G521" s="3" t="s">
        <v>52</v>
      </c>
      <c r="H521" s="3" t="s">
        <v>20</v>
      </c>
      <c r="I521" s="8">
        <f t="shared" si="8"/>
        <v>45413</v>
      </c>
    </row>
    <row r="522" spans="1:9" x14ac:dyDescent="0.25">
      <c r="A522" s="7" t="s">
        <v>612</v>
      </c>
      <c r="B522" s="4">
        <v>45435</v>
      </c>
      <c r="C522" s="3" t="s">
        <v>39</v>
      </c>
      <c r="D522" s="3" t="s">
        <v>40</v>
      </c>
      <c r="E522" s="3" t="s">
        <v>148</v>
      </c>
      <c r="F522" s="5">
        <v>274.48</v>
      </c>
      <c r="G522" s="3" t="s">
        <v>19</v>
      </c>
      <c r="H522" s="3" t="s">
        <v>20</v>
      </c>
      <c r="I522" s="8">
        <f t="shared" si="8"/>
        <v>45413</v>
      </c>
    </row>
    <row r="523" spans="1:9" x14ac:dyDescent="0.25">
      <c r="A523" s="7" t="s">
        <v>613</v>
      </c>
      <c r="B523" s="4">
        <v>45435</v>
      </c>
      <c r="C523" s="3" t="s">
        <v>33</v>
      </c>
      <c r="D523" s="3" t="s">
        <v>40</v>
      </c>
      <c r="E523" s="3" t="s">
        <v>148</v>
      </c>
      <c r="F523" s="5">
        <v>483.19</v>
      </c>
      <c r="G523" s="3" t="s">
        <v>27</v>
      </c>
      <c r="H523" s="3" t="s">
        <v>14</v>
      </c>
      <c r="I523" s="8">
        <f t="shared" si="8"/>
        <v>45413</v>
      </c>
    </row>
    <row r="524" spans="1:9" x14ac:dyDescent="0.25">
      <c r="A524" s="7" t="s">
        <v>614</v>
      </c>
      <c r="B524" s="4">
        <v>45435</v>
      </c>
      <c r="C524" s="3" t="s">
        <v>49</v>
      </c>
      <c r="D524" s="3" t="s">
        <v>17</v>
      </c>
      <c r="E524" s="3" t="s">
        <v>154</v>
      </c>
      <c r="F524" s="5">
        <v>121.07</v>
      </c>
      <c r="G524" s="3" t="s">
        <v>19</v>
      </c>
      <c r="H524" s="3" t="s">
        <v>14</v>
      </c>
      <c r="I524" s="8">
        <f t="shared" si="8"/>
        <v>45413</v>
      </c>
    </row>
    <row r="525" spans="1:9" x14ac:dyDescent="0.25">
      <c r="A525" s="7" t="s">
        <v>615</v>
      </c>
      <c r="B525" s="4">
        <v>45435</v>
      </c>
      <c r="C525" s="3" t="s">
        <v>54</v>
      </c>
      <c r="D525" s="3" t="s">
        <v>43</v>
      </c>
      <c r="E525" s="3" t="s">
        <v>85</v>
      </c>
      <c r="F525" s="5">
        <v>302.02</v>
      </c>
      <c r="G525" s="3" t="s">
        <v>86</v>
      </c>
      <c r="H525" s="3" t="s">
        <v>20</v>
      </c>
      <c r="I525" s="8">
        <f t="shared" si="8"/>
        <v>45413</v>
      </c>
    </row>
    <row r="526" spans="1:9" x14ac:dyDescent="0.25">
      <c r="A526" s="7" t="s">
        <v>616</v>
      </c>
      <c r="B526" s="4">
        <v>45436</v>
      </c>
      <c r="C526" s="3" t="s">
        <v>22</v>
      </c>
      <c r="D526" s="3" t="s">
        <v>55</v>
      </c>
      <c r="E526" s="3" t="s">
        <v>162</v>
      </c>
      <c r="F526" s="5">
        <v>922.12</v>
      </c>
      <c r="G526" s="3" t="s">
        <v>27</v>
      </c>
      <c r="H526" s="3" t="s">
        <v>14</v>
      </c>
      <c r="I526" s="8">
        <f t="shared" si="8"/>
        <v>45413</v>
      </c>
    </row>
    <row r="527" spans="1:9" x14ac:dyDescent="0.25">
      <c r="A527" s="7" t="s">
        <v>617</v>
      </c>
      <c r="B527" s="4">
        <v>45436</v>
      </c>
      <c r="C527" s="3" t="s">
        <v>29</v>
      </c>
      <c r="D527" s="3" t="s">
        <v>55</v>
      </c>
      <c r="E527" s="3" t="s">
        <v>162</v>
      </c>
      <c r="F527" s="5">
        <v>1410.18</v>
      </c>
      <c r="G527" s="3" t="s">
        <v>19</v>
      </c>
      <c r="H527" s="3" t="s">
        <v>14</v>
      </c>
      <c r="I527" s="8">
        <f t="shared" si="8"/>
        <v>45413</v>
      </c>
    </row>
    <row r="528" spans="1:9" x14ac:dyDescent="0.25">
      <c r="A528" s="7" t="s">
        <v>618</v>
      </c>
      <c r="B528" s="4">
        <v>45436</v>
      </c>
      <c r="C528" s="3" t="s">
        <v>10</v>
      </c>
      <c r="D528" s="3" t="s">
        <v>40</v>
      </c>
      <c r="E528" s="3" t="s">
        <v>148</v>
      </c>
      <c r="F528" s="5">
        <v>455.86</v>
      </c>
      <c r="G528" s="3" t="s">
        <v>27</v>
      </c>
      <c r="H528" s="3" t="s">
        <v>14</v>
      </c>
      <c r="I528" s="8">
        <f t="shared" si="8"/>
        <v>45413</v>
      </c>
    </row>
    <row r="529" spans="1:9" x14ac:dyDescent="0.25">
      <c r="A529" s="7" t="s">
        <v>619</v>
      </c>
      <c r="B529" s="4">
        <v>45436</v>
      </c>
      <c r="C529" s="3" t="s">
        <v>54</v>
      </c>
      <c r="D529" s="3" t="s">
        <v>114</v>
      </c>
      <c r="E529" s="3" t="s">
        <v>157</v>
      </c>
      <c r="F529" s="5">
        <v>650.88</v>
      </c>
      <c r="G529" s="3" t="s">
        <v>19</v>
      </c>
      <c r="H529" s="3" t="s">
        <v>14</v>
      </c>
      <c r="I529" s="8">
        <f t="shared" si="8"/>
        <v>45413</v>
      </c>
    </row>
    <row r="530" spans="1:9" x14ac:dyDescent="0.25">
      <c r="A530" s="7" t="s">
        <v>620</v>
      </c>
      <c r="B530" s="4">
        <v>45437</v>
      </c>
      <c r="C530" s="3" t="s">
        <v>39</v>
      </c>
      <c r="D530" s="3" t="s">
        <v>50</v>
      </c>
      <c r="E530" s="3" t="s">
        <v>51</v>
      </c>
      <c r="F530" s="5">
        <v>148.19</v>
      </c>
      <c r="G530" s="3" t="s">
        <v>24</v>
      </c>
      <c r="H530" s="3" t="s">
        <v>14</v>
      </c>
      <c r="I530" s="8">
        <f t="shared" si="8"/>
        <v>45413</v>
      </c>
    </row>
    <row r="531" spans="1:9" x14ac:dyDescent="0.25">
      <c r="A531" s="7" t="s">
        <v>621</v>
      </c>
      <c r="B531" s="4">
        <v>45437</v>
      </c>
      <c r="C531" s="3" t="s">
        <v>39</v>
      </c>
      <c r="D531" s="3" t="s">
        <v>114</v>
      </c>
      <c r="E531" s="3" t="s">
        <v>115</v>
      </c>
      <c r="F531" s="5">
        <v>998.61</v>
      </c>
      <c r="G531" s="3" t="s">
        <v>24</v>
      </c>
      <c r="H531" s="3" t="s">
        <v>14</v>
      </c>
      <c r="I531" s="8">
        <f t="shared" si="8"/>
        <v>45413</v>
      </c>
    </row>
    <row r="532" spans="1:9" x14ac:dyDescent="0.25">
      <c r="A532" s="7" t="s">
        <v>622</v>
      </c>
      <c r="B532" s="4">
        <v>45437</v>
      </c>
      <c r="C532" s="3" t="s">
        <v>16</v>
      </c>
      <c r="D532" s="3" t="s">
        <v>55</v>
      </c>
      <c r="E532" s="3" t="s">
        <v>56</v>
      </c>
      <c r="F532" s="5">
        <v>1643.84</v>
      </c>
      <c r="G532" s="3" t="s">
        <v>19</v>
      </c>
      <c r="H532" s="3" t="s">
        <v>20</v>
      </c>
      <c r="I532" s="8">
        <f t="shared" si="8"/>
        <v>45413</v>
      </c>
    </row>
    <row r="533" spans="1:9" x14ac:dyDescent="0.25">
      <c r="A533" s="7" t="s">
        <v>623</v>
      </c>
      <c r="B533" s="4">
        <v>45437</v>
      </c>
      <c r="C533" s="3" t="s">
        <v>54</v>
      </c>
      <c r="D533" s="3" t="s">
        <v>114</v>
      </c>
      <c r="E533" s="3" t="s">
        <v>117</v>
      </c>
      <c r="F533" s="5">
        <v>841.4</v>
      </c>
      <c r="G533" s="3" t="s">
        <v>19</v>
      </c>
      <c r="H533" s="3" t="s">
        <v>20</v>
      </c>
      <c r="I533" s="8">
        <f t="shared" si="8"/>
        <v>45413</v>
      </c>
    </row>
    <row r="534" spans="1:9" x14ac:dyDescent="0.25">
      <c r="A534" s="7" t="s">
        <v>624</v>
      </c>
      <c r="B534" s="4">
        <v>45437</v>
      </c>
      <c r="C534" s="3" t="s">
        <v>49</v>
      </c>
      <c r="D534" s="3" t="s">
        <v>30</v>
      </c>
      <c r="E534" s="3" t="s">
        <v>169</v>
      </c>
      <c r="F534" s="5">
        <v>287.51</v>
      </c>
      <c r="G534" s="3" t="s">
        <v>52</v>
      </c>
      <c r="H534" s="3" t="s">
        <v>14</v>
      </c>
      <c r="I534" s="8">
        <f t="shared" si="8"/>
        <v>45413</v>
      </c>
    </row>
    <row r="535" spans="1:9" x14ac:dyDescent="0.25">
      <c r="A535" s="7" t="s">
        <v>625</v>
      </c>
      <c r="B535" s="4">
        <v>45437</v>
      </c>
      <c r="C535" s="3" t="s">
        <v>16</v>
      </c>
      <c r="D535" s="3" t="s">
        <v>40</v>
      </c>
      <c r="E535" s="3" t="s">
        <v>148</v>
      </c>
      <c r="F535" s="5">
        <v>480.1</v>
      </c>
      <c r="G535" s="3" t="s">
        <v>27</v>
      </c>
      <c r="H535" s="3" t="s">
        <v>14</v>
      </c>
      <c r="I535" s="8">
        <f t="shared" si="8"/>
        <v>45413</v>
      </c>
    </row>
    <row r="536" spans="1:9" x14ac:dyDescent="0.25">
      <c r="A536" s="7" t="s">
        <v>626</v>
      </c>
      <c r="B536" s="4">
        <v>45437</v>
      </c>
      <c r="C536" s="3" t="s">
        <v>10</v>
      </c>
      <c r="D536" s="3" t="s">
        <v>55</v>
      </c>
      <c r="E536" s="3" t="s">
        <v>142</v>
      </c>
      <c r="F536" s="5">
        <v>369.54</v>
      </c>
      <c r="G536" s="3" t="s">
        <v>27</v>
      </c>
      <c r="H536" s="3" t="s">
        <v>20</v>
      </c>
      <c r="I536" s="8">
        <f t="shared" si="8"/>
        <v>45413</v>
      </c>
    </row>
    <row r="537" spans="1:9" x14ac:dyDescent="0.25">
      <c r="A537" s="7" t="s">
        <v>627</v>
      </c>
      <c r="B537" s="4">
        <v>45437</v>
      </c>
      <c r="C537" s="3" t="s">
        <v>16</v>
      </c>
      <c r="D537" s="3" t="s">
        <v>36</v>
      </c>
      <c r="E537" s="3" t="s">
        <v>150</v>
      </c>
      <c r="F537" s="5">
        <v>141.58000000000001</v>
      </c>
      <c r="G537" s="3" t="s">
        <v>27</v>
      </c>
      <c r="H537" s="3" t="s">
        <v>14</v>
      </c>
      <c r="I537" s="8">
        <f t="shared" si="8"/>
        <v>45413</v>
      </c>
    </row>
    <row r="538" spans="1:9" x14ac:dyDescent="0.25">
      <c r="A538" s="7" t="s">
        <v>628</v>
      </c>
      <c r="B538" s="4">
        <v>45438</v>
      </c>
      <c r="C538" s="3" t="s">
        <v>54</v>
      </c>
      <c r="D538" s="3" t="s">
        <v>22</v>
      </c>
      <c r="E538" s="3" t="s">
        <v>75</v>
      </c>
      <c r="F538" s="5">
        <v>342.39</v>
      </c>
      <c r="G538" s="3" t="s">
        <v>27</v>
      </c>
      <c r="H538" s="3" t="s">
        <v>14</v>
      </c>
      <c r="I538" s="8">
        <f t="shared" si="8"/>
        <v>45413</v>
      </c>
    </row>
    <row r="539" spans="1:9" x14ac:dyDescent="0.25">
      <c r="A539" s="7" t="s">
        <v>629</v>
      </c>
      <c r="B539" s="4">
        <v>45439</v>
      </c>
      <c r="C539" s="3" t="s">
        <v>54</v>
      </c>
      <c r="D539" s="3" t="s">
        <v>114</v>
      </c>
      <c r="E539" s="3" t="s">
        <v>115</v>
      </c>
      <c r="F539" s="5">
        <v>161.96</v>
      </c>
      <c r="G539" s="3" t="s">
        <v>19</v>
      </c>
      <c r="H539" s="3" t="s">
        <v>20</v>
      </c>
      <c r="I539" s="8">
        <f t="shared" si="8"/>
        <v>45413</v>
      </c>
    </row>
    <row r="540" spans="1:9" x14ac:dyDescent="0.25">
      <c r="A540" s="7" t="s">
        <v>630</v>
      </c>
      <c r="B540" s="4">
        <v>45439</v>
      </c>
      <c r="C540" s="3" t="s">
        <v>39</v>
      </c>
      <c r="D540" s="3" t="s">
        <v>30</v>
      </c>
      <c r="E540" s="3" t="s">
        <v>60</v>
      </c>
      <c r="F540" s="5">
        <v>239.82</v>
      </c>
      <c r="G540" s="3" t="s">
        <v>19</v>
      </c>
      <c r="H540" s="3" t="s">
        <v>14</v>
      </c>
      <c r="I540" s="8">
        <f t="shared" si="8"/>
        <v>45413</v>
      </c>
    </row>
    <row r="541" spans="1:9" x14ac:dyDescent="0.25">
      <c r="A541" s="7" t="s">
        <v>631</v>
      </c>
      <c r="B541" s="4">
        <v>45439</v>
      </c>
      <c r="C541" s="3" t="s">
        <v>33</v>
      </c>
      <c r="D541" s="3" t="s">
        <v>40</v>
      </c>
      <c r="E541" s="3" t="s">
        <v>182</v>
      </c>
      <c r="F541" s="5">
        <v>228.86</v>
      </c>
      <c r="G541" s="3" t="s">
        <v>27</v>
      </c>
      <c r="H541" s="3" t="s">
        <v>14</v>
      </c>
      <c r="I541" s="8">
        <f t="shared" si="8"/>
        <v>45413</v>
      </c>
    </row>
    <row r="542" spans="1:9" x14ac:dyDescent="0.25">
      <c r="A542" s="7" t="s">
        <v>632</v>
      </c>
      <c r="B542" s="4">
        <v>45439</v>
      </c>
      <c r="C542" s="3" t="s">
        <v>10</v>
      </c>
      <c r="D542" s="3" t="s">
        <v>50</v>
      </c>
      <c r="E542" s="3" t="s">
        <v>166</v>
      </c>
      <c r="F542" s="5">
        <v>36.03</v>
      </c>
      <c r="G542" s="3" t="s">
        <v>24</v>
      </c>
      <c r="H542" s="3" t="s">
        <v>14</v>
      </c>
      <c r="I542" s="8">
        <f t="shared" si="8"/>
        <v>45413</v>
      </c>
    </row>
    <row r="543" spans="1:9" x14ac:dyDescent="0.25">
      <c r="A543" s="7" t="s">
        <v>633</v>
      </c>
      <c r="B543" s="4">
        <v>45439</v>
      </c>
      <c r="C543" s="3" t="s">
        <v>54</v>
      </c>
      <c r="D543" s="3" t="s">
        <v>40</v>
      </c>
      <c r="E543" s="3" t="s">
        <v>58</v>
      </c>
      <c r="F543" s="5">
        <v>55.91</v>
      </c>
      <c r="G543" s="3" t="s">
        <v>19</v>
      </c>
      <c r="H543" s="3" t="s">
        <v>20</v>
      </c>
      <c r="I543" s="8">
        <f t="shared" si="8"/>
        <v>45413</v>
      </c>
    </row>
    <row r="544" spans="1:9" x14ac:dyDescent="0.25">
      <c r="A544" s="7" t="s">
        <v>634</v>
      </c>
      <c r="B544" s="4">
        <v>45439</v>
      </c>
      <c r="C544" s="3" t="s">
        <v>54</v>
      </c>
      <c r="D544" s="3" t="s">
        <v>46</v>
      </c>
      <c r="E544" s="3" t="s">
        <v>47</v>
      </c>
      <c r="F544" s="5">
        <v>488.96</v>
      </c>
      <c r="G544" s="3" t="s">
        <v>86</v>
      </c>
      <c r="H544" s="3" t="s">
        <v>14</v>
      </c>
      <c r="I544" s="8">
        <f t="shared" si="8"/>
        <v>45413</v>
      </c>
    </row>
    <row r="545" spans="1:9" x14ac:dyDescent="0.25">
      <c r="A545" s="7" t="s">
        <v>635</v>
      </c>
      <c r="B545" s="4">
        <v>45440</v>
      </c>
      <c r="C545" s="3" t="s">
        <v>49</v>
      </c>
      <c r="D545" s="3" t="s">
        <v>30</v>
      </c>
      <c r="E545" s="3" t="s">
        <v>65</v>
      </c>
      <c r="F545" s="5">
        <v>217.64</v>
      </c>
      <c r="G545" s="3" t="s">
        <v>24</v>
      </c>
      <c r="H545" s="3" t="s">
        <v>14</v>
      </c>
      <c r="I545" s="8">
        <f t="shared" si="8"/>
        <v>45413</v>
      </c>
    </row>
    <row r="546" spans="1:9" x14ac:dyDescent="0.25">
      <c r="A546" s="7" t="s">
        <v>636</v>
      </c>
      <c r="B546" s="4">
        <v>45440</v>
      </c>
      <c r="C546" s="3" t="s">
        <v>29</v>
      </c>
      <c r="D546" s="3" t="s">
        <v>17</v>
      </c>
      <c r="E546" s="3" t="s">
        <v>68</v>
      </c>
      <c r="F546" s="5">
        <v>1451.49</v>
      </c>
      <c r="G546" s="3" t="s">
        <v>24</v>
      </c>
      <c r="H546" s="3" t="s">
        <v>14</v>
      </c>
      <c r="I546" s="8">
        <f t="shared" si="8"/>
        <v>45413</v>
      </c>
    </row>
    <row r="547" spans="1:9" x14ac:dyDescent="0.25">
      <c r="A547" s="7" t="s">
        <v>637</v>
      </c>
      <c r="B547" s="4">
        <v>45441</v>
      </c>
      <c r="C547" s="3" t="s">
        <v>22</v>
      </c>
      <c r="D547" s="3" t="s">
        <v>36</v>
      </c>
      <c r="E547" s="3" t="s">
        <v>145</v>
      </c>
      <c r="F547" s="5">
        <v>193.11</v>
      </c>
      <c r="G547" s="3" t="s">
        <v>27</v>
      </c>
      <c r="H547" s="3" t="s">
        <v>14</v>
      </c>
      <c r="I547" s="8">
        <f t="shared" si="8"/>
        <v>45413</v>
      </c>
    </row>
    <row r="548" spans="1:9" x14ac:dyDescent="0.25">
      <c r="A548" s="7" t="s">
        <v>638</v>
      </c>
      <c r="B548" s="4">
        <v>45441</v>
      </c>
      <c r="C548" s="3" t="s">
        <v>54</v>
      </c>
      <c r="D548" s="3" t="s">
        <v>82</v>
      </c>
      <c r="E548" s="3" t="s">
        <v>227</v>
      </c>
      <c r="F548" s="5">
        <v>2015.16</v>
      </c>
      <c r="G548" s="3" t="s">
        <v>13</v>
      </c>
      <c r="H548" s="3" t="s">
        <v>14</v>
      </c>
      <c r="I548" s="8">
        <f t="shared" si="8"/>
        <v>45413</v>
      </c>
    </row>
    <row r="549" spans="1:9" x14ac:dyDescent="0.25">
      <c r="A549" s="7" t="s">
        <v>639</v>
      </c>
      <c r="B549" s="4">
        <v>45442</v>
      </c>
      <c r="C549" s="3" t="s">
        <v>49</v>
      </c>
      <c r="D549" s="3" t="s">
        <v>46</v>
      </c>
      <c r="E549" s="3" t="s">
        <v>187</v>
      </c>
      <c r="F549" s="5">
        <v>227.21</v>
      </c>
      <c r="G549" s="3" t="s">
        <v>13</v>
      </c>
      <c r="H549" s="3" t="s">
        <v>14</v>
      </c>
      <c r="I549" s="8">
        <f t="shared" si="8"/>
        <v>45413</v>
      </c>
    </row>
    <row r="550" spans="1:9" x14ac:dyDescent="0.25">
      <c r="A550" s="7" t="s">
        <v>640</v>
      </c>
      <c r="B550" s="4">
        <v>45442</v>
      </c>
      <c r="C550" s="3" t="s">
        <v>54</v>
      </c>
      <c r="D550" s="3" t="s">
        <v>22</v>
      </c>
      <c r="E550" s="3" t="s">
        <v>175</v>
      </c>
      <c r="F550" s="5">
        <v>1708.37</v>
      </c>
      <c r="G550" s="3" t="s">
        <v>19</v>
      </c>
      <c r="H550" s="3" t="s">
        <v>20</v>
      </c>
      <c r="I550" s="8">
        <f t="shared" si="8"/>
        <v>45413</v>
      </c>
    </row>
    <row r="551" spans="1:9" x14ac:dyDescent="0.25">
      <c r="A551" s="7" t="s">
        <v>641</v>
      </c>
      <c r="B551" s="4">
        <v>45442</v>
      </c>
      <c r="C551" s="3" t="s">
        <v>39</v>
      </c>
      <c r="D551" s="3" t="s">
        <v>22</v>
      </c>
      <c r="E551" s="3" t="s">
        <v>26</v>
      </c>
      <c r="F551" s="5">
        <v>1563.72</v>
      </c>
      <c r="G551" s="3" t="s">
        <v>27</v>
      </c>
      <c r="H551" s="3" t="s">
        <v>14</v>
      </c>
      <c r="I551" s="8">
        <f t="shared" si="8"/>
        <v>45413</v>
      </c>
    </row>
    <row r="552" spans="1:9" x14ac:dyDescent="0.25">
      <c r="A552" s="7" t="s">
        <v>642</v>
      </c>
      <c r="B552" s="4">
        <v>45443</v>
      </c>
      <c r="C552" s="3" t="s">
        <v>49</v>
      </c>
      <c r="D552" s="3" t="s">
        <v>43</v>
      </c>
      <c r="E552" s="3" t="s">
        <v>78</v>
      </c>
      <c r="F552" s="5">
        <v>132.1</v>
      </c>
      <c r="G552" s="3" t="s">
        <v>86</v>
      </c>
      <c r="H552" s="3" t="s">
        <v>14</v>
      </c>
      <c r="I552" s="8">
        <f t="shared" si="8"/>
        <v>45413</v>
      </c>
    </row>
    <row r="553" spans="1:9" x14ac:dyDescent="0.25">
      <c r="A553" s="7" t="s">
        <v>643</v>
      </c>
      <c r="B553" s="4">
        <v>45443</v>
      </c>
      <c r="C553" s="3" t="s">
        <v>16</v>
      </c>
      <c r="D553" s="3" t="s">
        <v>114</v>
      </c>
      <c r="E553" s="3" t="s">
        <v>157</v>
      </c>
      <c r="F553" s="5">
        <v>334.5</v>
      </c>
      <c r="G553" s="3" t="s">
        <v>19</v>
      </c>
      <c r="H553" s="3" t="s">
        <v>20</v>
      </c>
      <c r="I553" s="8">
        <f t="shared" si="8"/>
        <v>45413</v>
      </c>
    </row>
    <row r="554" spans="1:9" x14ac:dyDescent="0.25">
      <c r="A554" s="7" t="s">
        <v>644</v>
      </c>
      <c r="B554" s="4">
        <v>45443</v>
      </c>
      <c r="C554" s="3" t="s">
        <v>10</v>
      </c>
      <c r="D554" s="3" t="s">
        <v>50</v>
      </c>
      <c r="E554" s="3" t="s">
        <v>166</v>
      </c>
      <c r="F554" s="5">
        <v>37.57</v>
      </c>
      <c r="G554" s="3" t="s">
        <v>24</v>
      </c>
      <c r="H554" s="3" t="s">
        <v>14</v>
      </c>
      <c r="I554" s="8">
        <f t="shared" si="8"/>
        <v>45413</v>
      </c>
    </row>
    <row r="555" spans="1:9" x14ac:dyDescent="0.25">
      <c r="A555" s="7" t="s">
        <v>645</v>
      </c>
      <c r="B555" s="4">
        <v>45444</v>
      </c>
      <c r="C555" s="3" t="s">
        <v>10</v>
      </c>
      <c r="D555" s="3" t="s">
        <v>114</v>
      </c>
      <c r="E555" s="3" t="s">
        <v>115</v>
      </c>
      <c r="F555" s="5">
        <v>647.95000000000005</v>
      </c>
      <c r="G555" s="3" t="s">
        <v>19</v>
      </c>
      <c r="H555" s="3" t="s">
        <v>14</v>
      </c>
      <c r="I555" s="8">
        <f t="shared" si="8"/>
        <v>45444</v>
      </c>
    </row>
    <row r="556" spans="1:9" x14ac:dyDescent="0.25">
      <c r="A556" s="7" t="s">
        <v>646</v>
      </c>
      <c r="B556" s="4">
        <v>45444</v>
      </c>
      <c r="C556" s="3" t="s">
        <v>39</v>
      </c>
      <c r="D556" s="3" t="s">
        <v>11</v>
      </c>
      <c r="E556" s="3" t="s">
        <v>12</v>
      </c>
      <c r="F556" s="5">
        <v>15000</v>
      </c>
      <c r="G556" s="3" t="s">
        <v>13</v>
      </c>
      <c r="H556" s="3" t="s">
        <v>14</v>
      </c>
      <c r="I556" s="8">
        <f t="shared" si="8"/>
        <v>45444</v>
      </c>
    </row>
    <row r="557" spans="1:9" x14ac:dyDescent="0.25">
      <c r="A557" s="7" t="s">
        <v>647</v>
      </c>
      <c r="B557" s="4">
        <v>45444</v>
      </c>
      <c r="C557" s="3" t="s">
        <v>49</v>
      </c>
      <c r="D557" s="3" t="s">
        <v>36</v>
      </c>
      <c r="E557" s="3" t="s">
        <v>150</v>
      </c>
      <c r="F557" s="5">
        <v>104.5</v>
      </c>
      <c r="G557" s="3" t="s">
        <v>27</v>
      </c>
      <c r="H557" s="3" t="s">
        <v>14</v>
      </c>
      <c r="I557" s="8">
        <f t="shared" si="8"/>
        <v>45444</v>
      </c>
    </row>
    <row r="558" spans="1:9" x14ac:dyDescent="0.25">
      <c r="A558" s="7" t="s">
        <v>648</v>
      </c>
      <c r="B558" s="4">
        <v>45446</v>
      </c>
      <c r="C558" s="3" t="s">
        <v>29</v>
      </c>
      <c r="D558" s="3" t="s">
        <v>114</v>
      </c>
      <c r="E558" s="3" t="s">
        <v>157</v>
      </c>
      <c r="F558" s="5">
        <v>831.86</v>
      </c>
      <c r="G558" s="3" t="s">
        <v>24</v>
      </c>
      <c r="H558" s="3" t="s">
        <v>14</v>
      </c>
      <c r="I558" s="8">
        <f t="shared" si="8"/>
        <v>45444</v>
      </c>
    </row>
    <row r="559" spans="1:9" x14ac:dyDescent="0.25">
      <c r="A559" s="7" t="s">
        <v>649</v>
      </c>
      <c r="B559" s="4">
        <v>45446</v>
      </c>
      <c r="C559" s="3" t="s">
        <v>29</v>
      </c>
      <c r="D559" s="3" t="s">
        <v>17</v>
      </c>
      <c r="E559" s="3" t="s">
        <v>136</v>
      </c>
      <c r="F559" s="5">
        <v>777.96</v>
      </c>
      <c r="G559" s="3" t="s">
        <v>24</v>
      </c>
      <c r="H559" s="3" t="s">
        <v>20</v>
      </c>
      <c r="I559" s="8">
        <f t="shared" si="8"/>
        <v>45444</v>
      </c>
    </row>
    <row r="560" spans="1:9" x14ac:dyDescent="0.25">
      <c r="A560" s="7" t="s">
        <v>650</v>
      </c>
      <c r="B560" s="4">
        <v>45447</v>
      </c>
      <c r="C560" s="3" t="s">
        <v>22</v>
      </c>
      <c r="D560" s="3" t="s">
        <v>22</v>
      </c>
      <c r="E560" s="3" t="s">
        <v>244</v>
      </c>
      <c r="F560" s="5">
        <v>1741.42</v>
      </c>
      <c r="G560" s="3" t="s">
        <v>19</v>
      </c>
      <c r="H560" s="3" t="s">
        <v>20</v>
      </c>
      <c r="I560" s="8">
        <f t="shared" si="8"/>
        <v>45444</v>
      </c>
    </row>
    <row r="561" spans="1:9" x14ac:dyDescent="0.25">
      <c r="A561" s="7" t="s">
        <v>651</v>
      </c>
      <c r="B561" s="4">
        <v>45447</v>
      </c>
      <c r="C561" s="3" t="s">
        <v>22</v>
      </c>
      <c r="D561" s="3" t="s">
        <v>36</v>
      </c>
      <c r="E561" s="3" t="s">
        <v>88</v>
      </c>
      <c r="F561" s="5">
        <v>242.4</v>
      </c>
      <c r="G561" s="3" t="s">
        <v>27</v>
      </c>
      <c r="H561" s="3" t="s">
        <v>20</v>
      </c>
      <c r="I561" s="8">
        <f t="shared" si="8"/>
        <v>45444</v>
      </c>
    </row>
    <row r="562" spans="1:9" x14ac:dyDescent="0.25">
      <c r="A562" s="7" t="s">
        <v>652</v>
      </c>
      <c r="B562" s="4">
        <v>45447</v>
      </c>
      <c r="C562" s="3" t="s">
        <v>10</v>
      </c>
      <c r="D562" s="3" t="s">
        <v>114</v>
      </c>
      <c r="E562" s="3" t="s">
        <v>199</v>
      </c>
      <c r="F562" s="5">
        <v>725.77</v>
      </c>
      <c r="G562" s="3" t="s">
        <v>19</v>
      </c>
      <c r="H562" s="3" t="s">
        <v>14</v>
      </c>
      <c r="I562" s="8">
        <f t="shared" si="8"/>
        <v>45444</v>
      </c>
    </row>
    <row r="563" spans="1:9" x14ac:dyDescent="0.25">
      <c r="A563" s="7" t="s">
        <v>653</v>
      </c>
      <c r="B563" s="4">
        <v>45448</v>
      </c>
      <c r="C563" s="3" t="s">
        <v>39</v>
      </c>
      <c r="D563" s="3" t="s">
        <v>55</v>
      </c>
      <c r="E563" s="3" t="s">
        <v>56</v>
      </c>
      <c r="F563" s="5">
        <v>422.34</v>
      </c>
      <c r="G563" s="3" t="s">
        <v>27</v>
      </c>
      <c r="H563" s="3" t="s">
        <v>14</v>
      </c>
      <c r="I563" s="8">
        <f t="shared" si="8"/>
        <v>45444</v>
      </c>
    </row>
    <row r="564" spans="1:9" x14ac:dyDescent="0.25">
      <c r="A564" s="7" t="s">
        <v>654</v>
      </c>
      <c r="B564" s="4">
        <v>45449</v>
      </c>
      <c r="C564" s="3" t="s">
        <v>49</v>
      </c>
      <c r="D564" s="3" t="s">
        <v>114</v>
      </c>
      <c r="E564" s="3" t="s">
        <v>157</v>
      </c>
      <c r="F564" s="5">
        <v>56.26</v>
      </c>
      <c r="G564" s="3" t="s">
        <v>19</v>
      </c>
      <c r="H564" s="3" t="s">
        <v>14</v>
      </c>
      <c r="I564" s="8">
        <f t="shared" si="8"/>
        <v>45444</v>
      </c>
    </row>
    <row r="565" spans="1:9" x14ac:dyDescent="0.25">
      <c r="A565" s="7" t="s">
        <v>655</v>
      </c>
      <c r="B565" s="4">
        <v>45449</v>
      </c>
      <c r="C565" s="3" t="s">
        <v>10</v>
      </c>
      <c r="D565" s="3" t="s">
        <v>55</v>
      </c>
      <c r="E565" s="3" t="s">
        <v>537</v>
      </c>
      <c r="F565" s="5">
        <v>209.55</v>
      </c>
      <c r="G565" s="3" t="s">
        <v>27</v>
      </c>
      <c r="H565" s="3" t="s">
        <v>14</v>
      </c>
      <c r="I565" s="8">
        <f t="shared" si="8"/>
        <v>45444</v>
      </c>
    </row>
    <row r="566" spans="1:9" x14ac:dyDescent="0.25">
      <c r="A566" s="7" t="s">
        <v>656</v>
      </c>
      <c r="B566" s="4">
        <v>45449</v>
      </c>
      <c r="C566" s="3" t="s">
        <v>16</v>
      </c>
      <c r="D566" s="3" t="s">
        <v>36</v>
      </c>
      <c r="E566" s="3" t="s">
        <v>88</v>
      </c>
      <c r="F566" s="5">
        <v>28.93</v>
      </c>
      <c r="G566" s="3" t="s">
        <v>27</v>
      </c>
      <c r="H566" s="3" t="s">
        <v>14</v>
      </c>
      <c r="I566" s="8">
        <f t="shared" si="8"/>
        <v>45444</v>
      </c>
    </row>
    <row r="567" spans="1:9" x14ac:dyDescent="0.25">
      <c r="A567" s="7" t="s">
        <v>657</v>
      </c>
      <c r="B567" s="4">
        <v>45450</v>
      </c>
      <c r="C567" s="3" t="s">
        <v>10</v>
      </c>
      <c r="D567" s="3" t="s">
        <v>40</v>
      </c>
      <c r="E567" s="3" t="s">
        <v>148</v>
      </c>
      <c r="F567" s="5">
        <v>741.27</v>
      </c>
      <c r="G567" s="3" t="s">
        <v>19</v>
      </c>
      <c r="H567" s="3" t="s">
        <v>20</v>
      </c>
      <c r="I567" s="8">
        <f t="shared" si="8"/>
        <v>45444</v>
      </c>
    </row>
    <row r="568" spans="1:9" x14ac:dyDescent="0.25">
      <c r="A568" s="7" t="s">
        <v>658</v>
      </c>
      <c r="B568" s="4">
        <v>45450</v>
      </c>
      <c r="C568" s="3" t="s">
        <v>49</v>
      </c>
      <c r="D568" s="3" t="s">
        <v>17</v>
      </c>
      <c r="E568" s="3" t="s">
        <v>136</v>
      </c>
      <c r="F568" s="5">
        <v>1421.79</v>
      </c>
      <c r="G568" s="3" t="s">
        <v>24</v>
      </c>
      <c r="H568" s="3" t="s">
        <v>14</v>
      </c>
      <c r="I568" s="8">
        <f t="shared" si="8"/>
        <v>45444</v>
      </c>
    </row>
    <row r="569" spans="1:9" x14ac:dyDescent="0.25">
      <c r="A569" s="7" t="s">
        <v>659</v>
      </c>
      <c r="B569" s="4">
        <v>45451</v>
      </c>
      <c r="C569" s="3" t="s">
        <v>33</v>
      </c>
      <c r="D569" s="3" t="s">
        <v>30</v>
      </c>
      <c r="E569" s="3" t="s">
        <v>31</v>
      </c>
      <c r="F569" s="5">
        <v>84</v>
      </c>
      <c r="G569" s="3" t="s">
        <v>19</v>
      </c>
      <c r="H569" s="3" t="s">
        <v>20</v>
      </c>
      <c r="I569" s="8">
        <f t="shared" si="8"/>
        <v>45444</v>
      </c>
    </row>
    <row r="570" spans="1:9" x14ac:dyDescent="0.25">
      <c r="A570" s="7" t="s">
        <v>660</v>
      </c>
      <c r="B570" s="4">
        <v>45452</v>
      </c>
      <c r="C570" s="3" t="s">
        <v>29</v>
      </c>
      <c r="D570" s="3" t="s">
        <v>30</v>
      </c>
      <c r="E570" s="3" t="s">
        <v>34</v>
      </c>
      <c r="F570" s="5">
        <v>164.6</v>
      </c>
      <c r="G570" s="3" t="s">
        <v>19</v>
      </c>
      <c r="H570" s="3" t="s">
        <v>14</v>
      </c>
      <c r="I570" s="8">
        <f t="shared" si="8"/>
        <v>45444</v>
      </c>
    </row>
    <row r="571" spans="1:9" x14ac:dyDescent="0.25">
      <c r="A571" s="7" t="s">
        <v>661</v>
      </c>
      <c r="B571" s="4">
        <v>45452</v>
      </c>
      <c r="C571" s="3" t="s">
        <v>54</v>
      </c>
      <c r="D571" s="3" t="s">
        <v>82</v>
      </c>
      <c r="E571" s="3" t="s">
        <v>216</v>
      </c>
      <c r="F571" s="5">
        <v>1253.57</v>
      </c>
      <c r="G571" s="3" t="s">
        <v>13</v>
      </c>
      <c r="H571" s="3" t="s">
        <v>14</v>
      </c>
      <c r="I571" s="8">
        <f t="shared" si="8"/>
        <v>45444</v>
      </c>
    </row>
    <row r="572" spans="1:9" x14ac:dyDescent="0.25">
      <c r="A572" s="7" t="s">
        <v>662</v>
      </c>
      <c r="B572" s="4">
        <v>45452</v>
      </c>
      <c r="C572" s="3" t="s">
        <v>33</v>
      </c>
      <c r="D572" s="3" t="s">
        <v>17</v>
      </c>
      <c r="E572" s="3" t="s">
        <v>197</v>
      </c>
      <c r="F572" s="5">
        <v>476.02</v>
      </c>
      <c r="G572" s="3" t="s">
        <v>24</v>
      </c>
      <c r="H572" s="3" t="s">
        <v>14</v>
      </c>
      <c r="I572" s="8">
        <f t="shared" si="8"/>
        <v>45444</v>
      </c>
    </row>
    <row r="573" spans="1:9" x14ac:dyDescent="0.25">
      <c r="A573" s="7" t="s">
        <v>663</v>
      </c>
      <c r="B573" s="4">
        <v>45452</v>
      </c>
      <c r="C573" s="3" t="s">
        <v>22</v>
      </c>
      <c r="D573" s="3" t="s">
        <v>36</v>
      </c>
      <c r="E573" s="3" t="s">
        <v>238</v>
      </c>
      <c r="F573" s="5">
        <v>30.94</v>
      </c>
      <c r="G573" s="3" t="s">
        <v>27</v>
      </c>
      <c r="H573" s="3" t="s">
        <v>14</v>
      </c>
      <c r="I573" s="8">
        <f t="shared" si="8"/>
        <v>45444</v>
      </c>
    </row>
    <row r="574" spans="1:9" x14ac:dyDescent="0.25">
      <c r="A574" s="7" t="s">
        <v>664</v>
      </c>
      <c r="B574" s="4">
        <v>45453</v>
      </c>
      <c r="C574" s="3" t="s">
        <v>29</v>
      </c>
      <c r="D574" s="3" t="s">
        <v>50</v>
      </c>
      <c r="E574" s="3" t="s">
        <v>51</v>
      </c>
      <c r="F574" s="5">
        <v>52.85</v>
      </c>
      <c r="G574" s="3" t="s">
        <v>52</v>
      </c>
      <c r="H574" s="3" t="s">
        <v>14</v>
      </c>
      <c r="I574" s="8">
        <f t="shared" si="8"/>
        <v>45444</v>
      </c>
    </row>
    <row r="575" spans="1:9" x14ac:dyDescent="0.25">
      <c r="A575" s="7" t="s">
        <v>665</v>
      </c>
      <c r="B575" s="4">
        <v>45453</v>
      </c>
      <c r="C575" s="3" t="s">
        <v>16</v>
      </c>
      <c r="D575" s="3" t="s">
        <v>50</v>
      </c>
      <c r="E575" s="3" t="s">
        <v>166</v>
      </c>
      <c r="F575" s="5">
        <v>32.31</v>
      </c>
      <c r="G575" s="3" t="s">
        <v>52</v>
      </c>
      <c r="H575" s="3" t="s">
        <v>14</v>
      </c>
      <c r="I575" s="8">
        <f t="shared" si="8"/>
        <v>45444</v>
      </c>
    </row>
    <row r="576" spans="1:9" x14ac:dyDescent="0.25">
      <c r="A576" s="7" t="s">
        <v>666</v>
      </c>
      <c r="B576" s="4">
        <v>45453</v>
      </c>
      <c r="C576" s="3" t="s">
        <v>16</v>
      </c>
      <c r="D576" s="3" t="s">
        <v>36</v>
      </c>
      <c r="E576" s="3" t="s">
        <v>37</v>
      </c>
      <c r="F576" s="5">
        <v>142.1</v>
      </c>
      <c r="G576" s="3" t="s">
        <v>27</v>
      </c>
      <c r="H576" s="3" t="s">
        <v>14</v>
      </c>
      <c r="I576" s="8">
        <f t="shared" si="8"/>
        <v>45444</v>
      </c>
    </row>
    <row r="577" spans="1:9" x14ac:dyDescent="0.25">
      <c r="A577" s="7" t="s">
        <v>667</v>
      </c>
      <c r="B577" s="4">
        <v>45453</v>
      </c>
      <c r="C577" s="3" t="s">
        <v>39</v>
      </c>
      <c r="D577" s="3" t="s">
        <v>30</v>
      </c>
      <c r="E577" s="3" t="s">
        <v>31</v>
      </c>
      <c r="F577" s="5">
        <v>21.01</v>
      </c>
      <c r="G577" s="3" t="s">
        <v>24</v>
      </c>
      <c r="H577" s="3" t="s">
        <v>14</v>
      </c>
      <c r="I577" s="8">
        <f t="shared" si="8"/>
        <v>45444</v>
      </c>
    </row>
    <row r="578" spans="1:9" x14ac:dyDescent="0.25">
      <c r="A578" s="7" t="s">
        <v>668</v>
      </c>
      <c r="B578" s="4">
        <v>45454</v>
      </c>
      <c r="C578" s="3" t="s">
        <v>54</v>
      </c>
      <c r="D578" s="3" t="s">
        <v>22</v>
      </c>
      <c r="E578" s="3" t="s">
        <v>75</v>
      </c>
      <c r="F578" s="5">
        <v>475.69</v>
      </c>
      <c r="G578" s="3" t="s">
        <v>27</v>
      </c>
      <c r="H578" s="3" t="s">
        <v>14</v>
      </c>
      <c r="I578" s="8">
        <f t="shared" si="8"/>
        <v>45444</v>
      </c>
    </row>
    <row r="579" spans="1:9" x14ac:dyDescent="0.25">
      <c r="A579" s="7" t="s">
        <v>669</v>
      </c>
      <c r="B579" s="4">
        <v>45454</v>
      </c>
      <c r="C579" s="3" t="s">
        <v>29</v>
      </c>
      <c r="D579" s="3" t="s">
        <v>43</v>
      </c>
      <c r="E579" s="3" t="s">
        <v>85</v>
      </c>
      <c r="F579" s="5">
        <v>220.49</v>
      </c>
      <c r="G579" s="3" t="s">
        <v>13</v>
      </c>
      <c r="H579" s="3" t="s">
        <v>14</v>
      </c>
      <c r="I579" s="8">
        <f t="shared" si="8"/>
        <v>45444</v>
      </c>
    </row>
    <row r="580" spans="1:9" x14ac:dyDescent="0.25">
      <c r="A580" s="7" t="s">
        <v>670</v>
      </c>
      <c r="B580" s="4">
        <v>45454</v>
      </c>
      <c r="C580" s="3" t="s">
        <v>54</v>
      </c>
      <c r="D580" s="3" t="s">
        <v>22</v>
      </c>
      <c r="E580" s="3" t="s">
        <v>97</v>
      </c>
      <c r="F580" s="5">
        <v>895.62</v>
      </c>
      <c r="G580" s="3" t="s">
        <v>27</v>
      </c>
      <c r="H580" s="3" t="s">
        <v>14</v>
      </c>
      <c r="I580" s="8">
        <f t="shared" si="8"/>
        <v>45444</v>
      </c>
    </row>
    <row r="581" spans="1:9" x14ac:dyDescent="0.25">
      <c r="A581" s="7" t="s">
        <v>671</v>
      </c>
      <c r="B581" s="4">
        <v>45455</v>
      </c>
      <c r="C581" s="3" t="s">
        <v>29</v>
      </c>
      <c r="D581" s="3" t="s">
        <v>30</v>
      </c>
      <c r="E581" s="3" t="s">
        <v>34</v>
      </c>
      <c r="F581" s="5">
        <v>136.43</v>
      </c>
      <c r="G581" s="3" t="s">
        <v>19</v>
      </c>
      <c r="H581" s="3" t="s">
        <v>20</v>
      </c>
      <c r="I581" s="8">
        <f t="shared" ref="I581:I644" si="9">DATE(YEAR(B581),MONTH(B581),1)</f>
        <v>45444</v>
      </c>
    </row>
    <row r="582" spans="1:9" x14ac:dyDescent="0.25">
      <c r="A582" s="7" t="s">
        <v>672</v>
      </c>
      <c r="B582" s="4">
        <v>45456</v>
      </c>
      <c r="C582" s="3" t="s">
        <v>29</v>
      </c>
      <c r="D582" s="3" t="s">
        <v>43</v>
      </c>
      <c r="E582" s="3" t="s">
        <v>336</v>
      </c>
      <c r="F582" s="5">
        <v>84.84</v>
      </c>
      <c r="G582" s="3" t="s">
        <v>86</v>
      </c>
      <c r="H582" s="3" t="s">
        <v>20</v>
      </c>
      <c r="I582" s="8">
        <f t="shared" si="9"/>
        <v>45444</v>
      </c>
    </row>
    <row r="583" spans="1:9" x14ac:dyDescent="0.25">
      <c r="A583" s="7" t="s">
        <v>673</v>
      </c>
      <c r="B583" s="4">
        <v>45456</v>
      </c>
      <c r="C583" s="3" t="s">
        <v>33</v>
      </c>
      <c r="D583" s="3" t="s">
        <v>55</v>
      </c>
      <c r="E583" s="3" t="s">
        <v>400</v>
      </c>
      <c r="F583" s="5">
        <v>1572.63</v>
      </c>
      <c r="G583" s="3" t="s">
        <v>27</v>
      </c>
      <c r="H583" s="3" t="s">
        <v>14</v>
      </c>
      <c r="I583" s="8">
        <f t="shared" si="9"/>
        <v>45444</v>
      </c>
    </row>
    <row r="584" spans="1:9" x14ac:dyDescent="0.25">
      <c r="A584" s="7" t="s">
        <v>674</v>
      </c>
      <c r="B584" s="4">
        <v>45456</v>
      </c>
      <c r="C584" s="3" t="s">
        <v>16</v>
      </c>
      <c r="D584" s="3" t="s">
        <v>22</v>
      </c>
      <c r="E584" s="3" t="s">
        <v>93</v>
      </c>
      <c r="F584" s="5">
        <v>351.24</v>
      </c>
      <c r="G584" s="3" t="s">
        <v>19</v>
      </c>
      <c r="H584" s="3" t="s">
        <v>14</v>
      </c>
      <c r="I584" s="8">
        <f t="shared" si="9"/>
        <v>45444</v>
      </c>
    </row>
    <row r="585" spans="1:9" x14ac:dyDescent="0.25">
      <c r="A585" s="7" t="s">
        <v>675</v>
      </c>
      <c r="B585" s="4">
        <v>45456</v>
      </c>
      <c r="C585" s="3" t="s">
        <v>49</v>
      </c>
      <c r="D585" s="3" t="s">
        <v>36</v>
      </c>
      <c r="E585" s="3" t="s">
        <v>238</v>
      </c>
      <c r="F585" s="5">
        <v>124.3</v>
      </c>
      <c r="G585" s="3" t="s">
        <v>27</v>
      </c>
      <c r="H585" s="3" t="s">
        <v>14</v>
      </c>
      <c r="I585" s="8">
        <f t="shared" si="9"/>
        <v>45444</v>
      </c>
    </row>
    <row r="586" spans="1:9" x14ac:dyDescent="0.25">
      <c r="A586" s="7" t="s">
        <v>676</v>
      </c>
      <c r="B586" s="4">
        <v>45456</v>
      </c>
      <c r="C586" s="3" t="s">
        <v>10</v>
      </c>
      <c r="D586" s="3" t="s">
        <v>50</v>
      </c>
      <c r="E586" s="3" t="s">
        <v>166</v>
      </c>
      <c r="F586" s="5">
        <v>8.24</v>
      </c>
      <c r="G586" s="3" t="s">
        <v>52</v>
      </c>
      <c r="H586" s="3" t="s">
        <v>14</v>
      </c>
      <c r="I586" s="8">
        <f t="shared" si="9"/>
        <v>45444</v>
      </c>
    </row>
    <row r="587" spans="1:9" x14ac:dyDescent="0.25">
      <c r="A587" s="7" t="s">
        <v>677</v>
      </c>
      <c r="B587" s="4">
        <v>45456</v>
      </c>
      <c r="C587" s="3" t="s">
        <v>39</v>
      </c>
      <c r="D587" s="3" t="s">
        <v>30</v>
      </c>
      <c r="E587" s="3" t="s">
        <v>31</v>
      </c>
      <c r="F587" s="5">
        <v>290.05</v>
      </c>
      <c r="G587" s="3" t="s">
        <v>52</v>
      </c>
      <c r="H587" s="3" t="s">
        <v>14</v>
      </c>
      <c r="I587" s="8">
        <f t="shared" si="9"/>
        <v>45444</v>
      </c>
    </row>
    <row r="588" spans="1:9" x14ac:dyDescent="0.25">
      <c r="A588" s="7" t="s">
        <v>678</v>
      </c>
      <c r="B588" s="4">
        <v>45457</v>
      </c>
      <c r="C588" s="3" t="s">
        <v>49</v>
      </c>
      <c r="D588" s="3" t="s">
        <v>50</v>
      </c>
      <c r="E588" s="3" t="s">
        <v>51</v>
      </c>
      <c r="F588" s="5">
        <v>55.98</v>
      </c>
      <c r="G588" s="3" t="s">
        <v>52</v>
      </c>
      <c r="H588" s="3" t="s">
        <v>14</v>
      </c>
      <c r="I588" s="8">
        <f t="shared" si="9"/>
        <v>45444</v>
      </c>
    </row>
    <row r="589" spans="1:9" x14ac:dyDescent="0.25">
      <c r="A589" s="7" t="s">
        <v>679</v>
      </c>
      <c r="B589" s="4">
        <v>45457</v>
      </c>
      <c r="C589" s="3" t="s">
        <v>22</v>
      </c>
      <c r="D589" s="3" t="s">
        <v>40</v>
      </c>
      <c r="E589" s="3" t="s">
        <v>148</v>
      </c>
      <c r="F589" s="5">
        <v>187.91</v>
      </c>
      <c r="G589" s="3" t="s">
        <v>27</v>
      </c>
      <c r="H589" s="3" t="s">
        <v>14</v>
      </c>
      <c r="I589" s="8">
        <f t="shared" si="9"/>
        <v>45444</v>
      </c>
    </row>
    <row r="590" spans="1:9" x14ac:dyDescent="0.25">
      <c r="A590" s="7" t="s">
        <v>680</v>
      </c>
      <c r="B590" s="4">
        <v>45457</v>
      </c>
      <c r="C590" s="3" t="s">
        <v>22</v>
      </c>
      <c r="D590" s="3" t="s">
        <v>82</v>
      </c>
      <c r="E590" s="3" t="s">
        <v>216</v>
      </c>
      <c r="F590" s="5">
        <v>1391.07</v>
      </c>
      <c r="G590" s="3" t="s">
        <v>13</v>
      </c>
      <c r="H590" s="3" t="s">
        <v>14</v>
      </c>
      <c r="I590" s="8">
        <f t="shared" si="9"/>
        <v>45444</v>
      </c>
    </row>
    <row r="591" spans="1:9" x14ac:dyDescent="0.25">
      <c r="A591" s="7" t="s">
        <v>681</v>
      </c>
      <c r="B591" s="4">
        <v>45458</v>
      </c>
      <c r="C591" s="3" t="s">
        <v>49</v>
      </c>
      <c r="D591" s="3" t="s">
        <v>82</v>
      </c>
      <c r="E591" s="3" t="s">
        <v>227</v>
      </c>
      <c r="F591" s="5">
        <v>1882.69</v>
      </c>
      <c r="G591" s="3" t="s">
        <v>13</v>
      </c>
      <c r="H591" s="3" t="s">
        <v>20</v>
      </c>
      <c r="I591" s="8">
        <f t="shared" si="9"/>
        <v>45444</v>
      </c>
    </row>
    <row r="592" spans="1:9" x14ac:dyDescent="0.25">
      <c r="A592" s="7" t="s">
        <v>682</v>
      </c>
      <c r="B592" s="4">
        <v>45459</v>
      </c>
      <c r="C592" s="3" t="s">
        <v>16</v>
      </c>
      <c r="D592" s="3" t="s">
        <v>43</v>
      </c>
      <c r="E592" s="3" t="s">
        <v>85</v>
      </c>
      <c r="F592" s="5">
        <v>205.73</v>
      </c>
      <c r="G592" s="3" t="s">
        <v>13</v>
      </c>
      <c r="H592" s="3" t="s">
        <v>14</v>
      </c>
      <c r="I592" s="8">
        <f t="shared" si="9"/>
        <v>45444</v>
      </c>
    </row>
    <row r="593" spans="1:9" x14ac:dyDescent="0.25">
      <c r="A593" s="7" t="s">
        <v>683</v>
      </c>
      <c r="B593" s="4">
        <v>45459</v>
      </c>
      <c r="C593" s="3" t="s">
        <v>16</v>
      </c>
      <c r="D593" s="3" t="s">
        <v>40</v>
      </c>
      <c r="E593" s="3" t="s">
        <v>182</v>
      </c>
      <c r="F593" s="5">
        <v>85.93</v>
      </c>
      <c r="G593" s="3" t="s">
        <v>27</v>
      </c>
      <c r="H593" s="3" t="s">
        <v>14</v>
      </c>
      <c r="I593" s="8">
        <f t="shared" si="9"/>
        <v>45444</v>
      </c>
    </row>
    <row r="594" spans="1:9" x14ac:dyDescent="0.25">
      <c r="A594" s="7" t="s">
        <v>684</v>
      </c>
      <c r="B594" s="4">
        <v>45459</v>
      </c>
      <c r="C594" s="3" t="s">
        <v>39</v>
      </c>
      <c r="D594" s="3" t="s">
        <v>17</v>
      </c>
      <c r="E594" s="3" t="s">
        <v>23</v>
      </c>
      <c r="F594" s="5">
        <v>266.82</v>
      </c>
      <c r="G594" s="3" t="s">
        <v>19</v>
      </c>
      <c r="H594" s="3" t="s">
        <v>14</v>
      </c>
      <c r="I594" s="8">
        <f t="shared" si="9"/>
        <v>45444</v>
      </c>
    </row>
    <row r="595" spans="1:9" x14ac:dyDescent="0.25">
      <c r="A595" s="7" t="s">
        <v>685</v>
      </c>
      <c r="B595" s="4">
        <v>45460</v>
      </c>
      <c r="C595" s="3" t="s">
        <v>49</v>
      </c>
      <c r="D595" s="3" t="s">
        <v>114</v>
      </c>
      <c r="E595" s="3" t="s">
        <v>199</v>
      </c>
      <c r="F595" s="5">
        <v>753.09</v>
      </c>
      <c r="G595" s="3" t="s">
        <v>24</v>
      </c>
      <c r="H595" s="3" t="s">
        <v>14</v>
      </c>
      <c r="I595" s="8">
        <f t="shared" si="9"/>
        <v>45444</v>
      </c>
    </row>
    <row r="596" spans="1:9" x14ac:dyDescent="0.25">
      <c r="A596" s="7" t="s">
        <v>686</v>
      </c>
      <c r="B596" s="4">
        <v>45461</v>
      </c>
      <c r="C596" s="3" t="s">
        <v>39</v>
      </c>
      <c r="D596" s="3" t="s">
        <v>50</v>
      </c>
      <c r="E596" s="3" t="s">
        <v>70</v>
      </c>
      <c r="F596" s="5">
        <v>124.33</v>
      </c>
      <c r="G596" s="3" t="s">
        <v>52</v>
      </c>
      <c r="H596" s="3" t="s">
        <v>20</v>
      </c>
      <c r="I596" s="8">
        <f t="shared" si="9"/>
        <v>45444</v>
      </c>
    </row>
    <row r="597" spans="1:9" x14ac:dyDescent="0.25">
      <c r="A597" s="7" t="s">
        <v>687</v>
      </c>
      <c r="B597" s="4">
        <v>45462</v>
      </c>
      <c r="C597" s="3" t="s">
        <v>29</v>
      </c>
      <c r="D597" s="3" t="s">
        <v>36</v>
      </c>
      <c r="E597" s="3" t="s">
        <v>145</v>
      </c>
      <c r="F597" s="5">
        <v>105.16</v>
      </c>
      <c r="G597" s="3" t="s">
        <v>19</v>
      </c>
      <c r="H597" s="3" t="s">
        <v>14</v>
      </c>
      <c r="I597" s="8">
        <f t="shared" si="9"/>
        <v>45444</v>
      </c>
    </row>
    <row r="598" spans="1:9" x14ac:dyDescent="0.25">
      <c r="A598" s="7" t="s">
        <v>688</v>
      </c>
      <c r="B598" s="4">
        <v>45462</v>
      </c>
      <c r="C598" s="3" t="s">
        <v>10</v>
      </c>
      <c r="D598" s="3" t="s">
        <v>55</v>
      </c>
      <c r="E598" s="3" t="s">
        <v>142</v>
      </c>
      <c r="F598" s="5">
        <v>923.78</v>
      </c>
      <c r="G598" s="3" t="s">
        <v>27</v>
      </c>
      <c r="H598" s="3" t="s">
        <v>14</v>
      </c>
      <c r="I598" s="8">
        <f t="shared" si="9"/>
        <v>45444</v>
      </c>
    </row>
    <row r="599" spans="1:9" x14ac:dyDescent="0.25">
      <c r="A599" s="7" t="s">
        <v>689</v>
      </c>
      <c r="B599" s="4">
        <v>45462</v>
      </c>
      <c r="C599" s="3" t="s">
        <v>29</v>
      </c>
      <c r="D599" s="3" t="s">
        <v>40</v>
      </c>
      <c r="E599" s="3" t="s">
        <v>182</v>
      </c>
      <c r="F599" s="5">
        <v>501.36</v>
      </c>
      <c r="G599" s="3" t="s">
        <v>27</v>
      </c>
      <c r="H599" s="3" t="s">
        <v>20</v>
      </c>
      <c r="I599" s="8">
        <f t="shared" si="9"/>
        <v>45444</v>
      </c>
    </row>
    <row r="600" spans="1:9" x14ac:dyDescent="0.25">
      <c r="A600" s="7" t="s">
        <v>690</v>
      </c>
      <c r="B600" s="4">
        <v>45462</v>
      </c>
      <c r="C600" s="3" t="s">
        <v>16</v>
      </c>
      <c r="D600" s="3" t="s">
        <v>22</v>
      </c>
      <c r="E600" s="3" t="s">
        <v>26</v>
      </c>
      <c r="F600" s="5">
        <v>1895.44</v>
      </c>
      <c r="G600" s="3" t="s">
        <v>19</v>
      </c>
      <c r="H600" s="3" t="s">
        <v>14</v>
      </c>
      <c r="I600" s="8">
        <f t="shared" si="9"/>
        <v>45444</v>
      </c>
    </row>
    <row r="601" spans="1:9" x14ac:dyDescent="0.25">
      <c r="A601" s="7" t="s">
        <v>691</v>
      </c>
      <c r="B601" s="4">
        <v>45463</v>
      </c>
      <c r="C601" s="3" t="s">
        <v>33</v>
      </c>
      <c r="D601" s="3" t="s">
        <v>50</v>
      </c>
      <c r="E601" s="3" t="s">
        <v>70</v>
      </c>
      <c r="F601" s="5">
        <v>62.22</v>
      </c>
      <c r="G601" s="3" t="s">
        <v>24</v>
      </c>
      <c r="H601" s="3" t="s">
        <v>14</v>
      </c>
      <c r="I601" s="8">
        <f t="shared" si="9"/>
        <v>45444</v>
      </c>
    </row>
    <row r="602" spans="1:9" x14ac:dyDescent="0.25">
      <c r="A602" s="7" t="s">
        <v>692</v>
      </c>
      <c r="B602" s="4">
        <v>45463</v>
      </c>
      <c r="C602" s="3" t="s">
        <v>39</v>
      </c>
      <c r="D602" s="3" t="s">
        <v>50</v>
      </c>
      <c r="E602" s="3" t="s">
        <v>62</v>
      </c>
      <c r="F602" s="5">
        <v>127.01</v>
      </c>
      <c r="G602" s="3" t="s">
        <v>24</v>
      </c>
      <c r="H602" s="3" t="s">
        <v>14</v>
      </c>
      <c r="I602" s="8">
        <f t="shared" si="9"/>
        <v>45444</v>
      </c>
    </row>
    <row r="603" spans="1:9" x14ac:dyDescent="0.25">
      <c r="A603" s="7" t="s">
        <v>693</v>
      </c>
      <c r="B603" s="4">
        <v>45463</v>
      </c>
      <c r="C603" s="3" t="s">
        <v>22</v>
      </c>
      <c r="D603" s="3" t="s">
        <v>114</v>
      </c>
      <c r="E603" s="3" t="s">
        <v>157</v>
      </c>
      <c r="F603" s="5">
        <v>206.06</v>
      </c>
      <c r="G603" s="3" t="s">
        <v>19</v>
      </c>
      <c r="H603" s="3" t="s">
        <v>14</v>
      </c>
      <c r="I603" s="8">
        <f t="shared" si="9"/>
        <v>45444</v>
      </c>
    </row>
    <row r="604" spans="1:9" x14ac:dyDescent="0.25">
      <c r="A604" s="7" t="s">
        <v>694</v>
      </c>
      <c r="B604" s="4">
        <v>45464</v>
      </c>
      <c r="C604" s="3" t="s">
        <v>33</v>
      </c>
      <c r="D604" s="3" t="s">
        <v>22</v>
      </c>
      <c r="E604" s="3" t="s">
        <v>175</v>
      </c>
      <c r="F604" s="5">
        <v>1766.37</v>
      </c>
      <c r="G604" s="3" t="s">
        <v>19</v>
      </c>
      <c r="H604" s="3" t="s">
        <v>14</v>
      </c>
      <c r="I604" s="8">
        <f t="shared" si="9"/>
        <v>45444</v>
      </c>
    </row>
    <row r="605" spans="1:9" x14ac:dyDescent="0.25">
      <c r="A605" s="7" t="s">
        <v>695</v>
      </c>
      <c r="B605" s="4">
        <v>45465</v>
      </c>
      <c r="C605" s="3" t="s">
        <v>22</v>
      </c>
      <c r="D605" s="3" t="s">
        <v>82</v>
      </c>
      <c r="E605" s="3" t="s">
        <v>227</v>
      </c>
      <c r="F605" s="5">
        <v>2940.5</v>
      </c>
      <c r="G605" s="3" t="s">
        <v>27</v>
      </c>
      <c r="H605" s="3" t="s">
        <v>14</v>
      </c>
      <c r="I605" s="8">
        <f t="shared" si="9"/>
        <v>45444</v>
      </c>
    </row>
    <row r="606" spans="1:9" x14ac:dyDescent="0.25">
      <c r="A606" s="7" t="s">
        <v>696</v>
      </c>
      <c r="B606" s="4">
        <v>45465</v>
      </c>
      <c r="C606" s="3" t="s">
        <v>29</v>
      </c>
      <c r="D606" s="3" t="s">
        <v>50</v>
      </c>
      <c r="E606" s="3" t="s">
        <v>70</v>
      </c>
      <c r="F606" s="5">
        <v>68.489999999999995</v>
      </c>
      <c r="G606" s="3" t="s">
        <v>52</v>
      </c>
      <c r="H606" s="3" t="s">
        <v>20</v>
      </c>
      <c r="I606" s="8">
        <f t="shared" si="9"/>
        <v>45444</v>
      </c>
    </row>
    <row r="607" spans="1:9" x14ac:dyDescent="0.25">
      <c r="A607" s="7" t="s">
        <v>697</v>
      </c>
      <c r="B607" s="4">
        <v>45465</v>
      </c>
      <c r="C607" s="3" t="s">
        <v>29</v>
      </c>
      <c r="D607" s="3" t="s">
        <v>30</v>
      </c>
      <c r="E607" s="3" t="s">
        <v>214</v>
      </c>
      <c r="F607" s="5">
        <v>317.38</v>
      </c>
      <c r="G607" s="3" t="s">
        <v>24</v>
      </c>
      <c r="H607" s="3" t="s">
        <v>14</v>
      </c>
      <c r="I607" s="8">
        <f t="shared" si="9"/>
        <v>45444</v>
      </c>
    </row>
    <row r="608" spans="1:9" x14ac:dyDescent="0.25">
      <c r="A608" s="7" t="s">
        <v>698</v>
      </c>
      <c r="B608" s="4">
        <v>45465</v>
      </c>
      <c r="C608" s="3" t="s">
        <v>33</v>
      </c>
      <c r="D608" s="3" t="s">
        <v>30</v>
      </c>
      <c r="E608" s="3" t="s">
        <v>214</v>
      </c>
      <c r="F608" s="5">
        <v>211.64</v>
      </c>
      <c r="G608" s="3" t="s">
        <v>19</v>
      </c>
      <c r="H608" s="3" t="s">
        <v>14</v>
      </c>
      <c r="I608" s="8">
        <f t="shared" si="9"/>
        <v>45444</v>
      </c>
    </row>
    <row r="609" spans="1:9" x14ac:dyDescent="0.25">
      <c r="A609" s="7" t="s">
        <v>699</v>
      </c>
      <c r="B609" s="4">
        <v>45465</v>
      </c>
      <c r="C609" s="3" t="s">
        <v>16</v>
      </c>
      <c r="D609" s="3" t="s">
        <v>55</v>
      </c>
      <c r="E609" s="3" t="s">
        <v>95</v>
      </c>
      <c r="F609" s="5">
        <v>86.54</v>
      </c>
      <c r="G609" s="3" t="s">
        <v>27</v>
      </c>
      <c r="H609" s="3" t="s">
        <v>14</v>
      </c>
      <c r="I609" s="8">
        <f t="shared" si="9"/>
        <v>45444</v>
      </c>
    </row>
    <row r="610" spans="1:9" x14ac:dyDescent="0.25">
      <c r="A610" s="7" t="s">
        <v>700</v>
      </c>
      <c r="B610" s="4">
        <v>45465</v>
      </c>
      <c r="C610" s="3" t="s">
        <v>39</v>
      </c>
      <c r="D610" s="3" t="s">
        <v>17</v>
      </c>
      <c r="E610" s="3" t="s">
        <v>80</v>
      </c>
      <c r="F610" s="5">
        <v>98.28</v>
      </c>
      <c r="G610" s="3" t="s">
        <v>24</v>
      </c>
      <c r="H610" s="3" t="s">
        <v>14</v>
      </c>
      <c r="I610" s="8">
        <f t="shared" si="9"/>
        <v>45444</v>
      </c>
    </row>
    <row r="611" spans="1:9" x14ac:dyDescent="0.25">
      <c r="A611" s="7" t="s">
        <v>701</v>
      </c>
      <c r="B611" s="4">
        <v>45466</v>
      </c>
      <c r="C611" s="3" t="s">
        <v>54</v>
      </c>
      <c r="D611" s="3" t="s">
        <v>55</v>
      </c>
      <c r="E611" s="3" t="s">
        <v>400</v>
      </c>
      <c r="F611" s="5">
        <v>905.89</v>
      </c>
      <c r="G611" s="3" t="s">
        <v>19</v>
      </c>
      <c r="H611" s="3" t="s">
        <v>20</v>
      </c>
      <c r="I611" s="8">
        <f t="shared" si="9"/>
        <v>45444</v>
      </c>
    </row>
    <row r="612" spans="1:9" x14ac:dyDescent="0.25">
      <c r="A612" s="7" t="s">
        <v>702</v>
      </c>
      <c r="B612" s="4">
        <v>45466</v>
      </c>
      <c r="C612" s="3" t="s">
        <v>22</v>
      </c>
      <c r="D612" s="3" t="s">
        <v>30</v>
      </c>
      <c r="E612" s="3" t="s">
        <v>214</v>
      </c>
      <c r="F612" s="5">
        <v>307.17</v>
      </c>
      <c r="G612" s="3" t="s">
        <v>52</v>
      </c>
      <c r="H612" s="3" t="s">
        <v>14</v>
      </c>
      <c r="I612" s="8">
        <f t="shared" si="9"/>
        <v>45444</v>
      </c>
    </row>
    <row r="613" spans="1:9" x14ac:dyDescent="0.25">
      <c r="A613" s="7" t="s">
        <v>703</v>
      </c>
      <c r="B613" s="4">
        <v>45466</v>
      </c>
      <c r="C613" s="3" t="s">
        <v>49</v>
      </c>
      <c r="D613" s="3" t="s">
        <v>22</v>
      </c>
      <c r="E613" s="3" t="s">
        <v>75</v>
      </c>
      <c r="F613" s="5">
        <v>2228.38</v>
      </c>
      <c r="G613" s="3" t="s">
        <v>19</v>
      </c>
      <c r="H613" s="3" t="s">
        <v>14</v>
      </c>
      <c r="I613" s="8">
        <f t="shared" si="9"/>
        <v>45444</v>
      </c>
    </row>
    <row r="614" spans="1:9" x14ac:dyDescent="0.25">
      <c r="A614" s="7" t="s">
        <v>704</v>
      </c>
      <c r="B614" s="4">
        <v>45467</v>
      </c>
      <c r="C614" s="3" t="s">
        <v>16</v>
      </c>
      <c r="D614" s="3" t="s">
        <v>50</v>
      </c>
      <c r="E614" s="3" t="s">
        <v>70</v>
      </c>
      <c r="F614" s="5">
        <v>72.38</v>
      </c>
      <c r="G614" s="3" t="s">
        <v>24</v>
      </c>
      <c r="H614" s="3" t="s">
        <v>14</v>
      </c>
      <c r="I614" s="8">
        <f t="shared" si="9"/>
        <v>45444</v>
      </c>
    </row>
    <row r="615" spans="1:9" x14ac:dyDescent="0.25">
      <c r="A615" s="7" t="s">
        <v>705</v>
      </c>
      <c r="B615" s="4">
        <v>45467</v>
      </c>
      <c r="C615" s="3" t="s">
        <v>39</v>
      </c>
      <c r="D615" s="3" t="s">
        <v>55</v>
      </c>
      <c r="E615" s="3" t="s">
        <v>95</v>
      </c>
      <c r="F615" s="5">
        <v>1419.92</v>
      </c>
      <c r="G615" s="3" t="s">
        <v>27</v>
      </c>
      <c r="H615" s="3" t="s">
        <v>14</v>
      </c>
      <c r="I615" s="8">
        <f t="shared" si="9"/>
        <v>45444</v>
      </c>
    </row>
    <row r="616" spans="1:9" x14ac:dyDescent="0.25">
      <c r="A616" s="7" t="s">
        <v>706</v>
      </c>
      <c r="B616" s="4">
        <v>45468</v>
      </c>
      <c r="C616" s="3" t="s">
        <v>33</v>
      </c>
      <c r="D616" s="3" t="s">
        <v>43</v>
      </c>
      <c r="E616" s="3" t="s">
        <v>336</v>
      </c>
      <c r="F616" s="5">
        <v>178.67</v>
      </c>
      <c r="G616" s="3" t="s">
        <v>86</v>
      </c>
      <c r="H616" s="3" t="s">
        <v>14</v>
      </c>
      <c r="I616" s="8">
        <f t="shared" si="9"/>
        <v>45444</v>
      </c>
    </row>
    <row r="617" spans="1:9" x14ac:dyDescent="0.25">
      <c r="A617" s="7" t="s">
        <v>707</v>
      </c>
      <c r="B617" s="4">
        <v>45468</v>
      </c>
      <c r="C617" s="3" t="s">
        <v>10</v>
      </c>
      <c r="D617" s="3" t="s">
        <v>46</v>
      </c>
      <c r="E617" s="3" t="s">
        <v>187</v>
      </c>
      <c r="F617" s="5">
        <v>259.33</v>
      </c>
      <c r="G617" s="3" t="s">
        <v>13</v>
      </c>
      <c r="H617" s="3" t="s">
        <v>14</v>
      </c>
      <c r="I617" s="8">
        <f t="shared" si="9"/>
        <v>45444</v>
      </c>
    </row>
    <row r="618" spans="1:9" x14ac:dyDescent="0.25">
      <c r="A618" s="7" t="s">
        <v>708</v>
      </c>
      <c r="B618" s="4">
        <v>45468</v>
      </c>
      <c r="C618" s="3" t="s">
        <v>22</v>
      </c>
      <c r="D618" s="3" t="s">
        <v>43</v>
      </c>
      <c r="E618" s="3" t="s">
        <v>85</v>
      </c>
      <c r="F618" s="5">
        <v>370.82</v>
      </c>
      <c r="G618" s="3" t="s">
        <v>86</v>
      </c>
      <c r="H618" s="3" t="s">
        <v>14</v>
      </c>
      <c r="I618" s="8">
        <f t="shared" si="9"/>
        <v>45444</v>
      </c>
    </row>
    <row r="619" spans="1:9" x14ac:dyDescent="0.25">
      <c r="A619" s="7" t="s">
        <v>709</v>
      </c>
      <c r="B619" s="4">
        <v>45468</v>
      </c>
      <c r="C619" s="3" t="s">
        <v>22</v>
      </c>
      <c r="D619" s="3" t="s">
        <v>17</v>
      </c>
      <c r="E619" s="3" t="s">
        <v>23</v>
      </c>
      <c r="F619" s="5">
        <v>1252.9100000000001</v>
      </c>
      <c r="G619" s="3" t="s">
        <v>19</v>
      </c>
      <c r="H619" s="3" t="s">
        <v>14</v>
      </c>
      <c r="I619" s="8">
        <f t="shared" si="9"/>
        <v>45444</v>
      </c>
    </row>
    <row r="620" spans="1:9" x14ac:dyDescent="0.25">
      <c r="A620" s="7" t="s">
        <v>710</v>
      </c>
      <c r="B620" s="4">
        <v>45468</v>
      </c>
      <c r="C620" s="3" t="s">
        <v>33</v>
      </c>
      <c r="D620" s="3" t="s">
        <v>40</v>
      </c>
      <c r="E620" s="3" t="s">
        <v>41</v>
      </c>
      <c r="F620" s="5">
        <v>718.42</v>
      </c>
      <c r="G620" s="3" t="s">
        <v>27</v>
      </c>
      <c r="H620" s="3" t="s">
        <v>14</v>
      </c>
      <c r="I620" s="8">
        <f t="shared" si="9"/>
        <v>45444</v>
      </c>
    </row>
    <row r="621" spans="1:9" x14ac:dyDescent="0.25">
      <c r="A621" s="7" t="s">
        <v>711</v>
      </c>
      <c r="B621" s="4">
        <v>45469</v>
      </c>
      <c r="C621" s="3" t="s">
        <v>10</v>
      </c>
      <c r="D621" s="3" t="s">
        <v>40</v>
      </c>
      <c r="E621" s="3" t="s">
        <v>130</v>
      </c>
      <c r="F621" s="5">
        <v>677.53</v>
      </c>
      <c r="G621" s="3" t="s">
        <v>27</v>
      </c>
      <c r="H621" s="3" t="s">
        <v>14</v>
      </c>
      <c r="I621" s="8">
        <f t="shared" si="9"/>
        <v>45444</v>
      </c>
    </row>
    <row r="622" spans="1:9" x14ac:dyDescent="0.25">
      <c r="A622" s="7" t="s">
        <v>712</v>
      </c>
      <c r="B622" s="4">
        <v>45469</v>
      </c>
      <c r="C622" s="3" t="s">
        <v>29</v>
      </c>
      <c r="D622" s="3" t="s">
        <v>46</v>
      </c>
      <c r="E622" s="3" t="s">
        <v>187</v>
      </c>
      <c r="F622" s="5">
        <v>443.78</v>
      </c>
      <c r="G622" s="3" t="s">
        <v>86</v>
      </c>
      <c r="H622" s="3" t="s">
        <v>14</v>
      </c>
      <c r="I622" s="8">
        <f t="shared" si="9"/>
        <v>45444</v>
      </c>
    </row>
    <row r="623" spans="1:9" x14ac:dyDescent="0.25">
      <c r="A623" s="7" t="s">
        <v>713</v>
      </c>
      <c r="B623" s="4">
        <v>45469</v>
      </c>
      <c r="C623" s="3" t="s">
        <v>49</v>
      </c>
      <c r="D623" s="3" t="s">
        <v>17</v>
      </c>
      <c r="E623" s="3" t="s">
        <v>154</v>
      </c>
      <c r="F623" s="5">
        <v>1381.96</v>
      </c>
      <c r="G623" s="3" t="s">
        <v>19</v>
      </c>
      <c r="H623" s="3" t="s">
        <v>14</v>
      </c>
      <c r="I623" s="8">
        <f t="shared" si="9"/>
        <v>45444</v>
      </c>
    </row>
    <row r="624" spans="1:9" x14ac:dyDescent="0.25">
      <c r="A624" s="7" t="s">
        <v>714</v>
      </c>
      <c r="B624" s="4">
        <v>45470</v>
      </c>
      <c r="C624" s="3" t="s">
        <v>39</v>
      </c>
      <c r="D624" s="3" t="s">
        <v>22</v>
      </c>
      <c r="E624" s="3" t="s">
        <v>175</v>
      </c>
      <c r="F624" s="5">
        <v>365.32</v>
      </c>
      <c r="G624" s="3" t="s">
        <v>19</v>
      </c>
      <c r="H624" s="3" t="s">
        <v>14</v>
      </c>
      <c r="I624" s="8">
        <f t="shared" si="9"/>
        <v>45444</v>
      </c>
    </row>
    <row r="625" spans="1:9" x14ac:dyDescent="0.25">
      <c r="A625" s="7" t="s">
        <v>715</v>
      </c>
      <c r="B625" s="4">
        <v>45470</v>
      </c>
      <c r="C625" s="3" t="s">
        <v>10</v>
      </c>
      <c r="D625" s="3" t="s">
        <v>50</v>
      </c>
      <c r="E625" s="3" t="s">
        <v>166</v>
      </c>
      <c r="F625" s="5">
        <v>96.16</v>
      </c>
      <c r="G625" s="3" t="s">
        <v>52</v>
      </c>
      <c r="H625" s="3" t="s">
        <v>14</v>
      </c>
      <c r="I625" s="8">
        <f t="shared" si="9"/>
        <v>45444</v>
      </c>
    </row>
    <row r="626" spans="1:9" x14ac:dyDescent="0.25">
      <c r="A626" s="7" t="s">
        <v>716</v>
      </c>
      <c r="B626" s="4">
        <v>45471</v>
      </c>
      <c r="C626" s="3" t="s">
        <v>16</v>
      </c>
      <c r="D626" s="3" t="s">
        <v>30</v>
      </c>
      <c r="E626" s="3" t="s">
        <v>169</v>
      </c>
      <c r="F626" s="5">
        <v>265.22000000000003</v>
      </c>
      <c r="G626" s="3" t="s">
        <v>19</v>
      </c>
      <c r="H626" s="3" t="s">
        <v>14</v>
      </c>
      <c r="I626" s="8">
        <f t="shared" si="9"/>
        <v>45444</v>
      </c>
    </row>
    <row r="627" spans="1:9" x14ac:dyDescent="0.25">
      <c r="A627" s="7" t="s">
        <v>717</v>
      </c>
      <c r="B627" s="4">
        <v>45471</v>
      </c>
      <c r="C627" s="3" t="s">
        <v>33</v>
      </c>
      <c r="D627" s="3" t="s">
        <v>43</v>
      </c>
      <c r="E627" s="3" t="s">
        <v>85</v>
      </c>
      <c r="F627" s="5">
        <v>157.1</v>
      </c>
      <c r="G627" s="3" t="s">
        <v>86</v>
      </c>
      <c r="H627" s="3" t="s">
        <v>14</v>
      </c>
      <c r="I627" s="8">
        <f t="shared" si="9"/>
        <v>45444</v>
      </c>
    </row>
    <row r="628" spans="1:9" x14ac:dyDescent="0.25">
      <c r="A628" s="7" t="s">
        <v>718</v>
      </c>
      <c r="B628" s="4">
        <v>45472</v>
      </c>
      <c r="C628" s="3" t="s">
        <v>39</v>
      </c>
      <c r="D628" s="3" t="s">
        <v>17</v>
      </c>
      <c r="E628" s="3" t="s">
        <v>18</v>
      </c>
      <c r="F628" s="5">
        <v>630.13</v>
      </c>
      <c r="G628" s="3" t="s">
        <v>19</v>
      </c>
      <c r="H628" s="3" t="s">
        <v>20</v>
      </c>
      <c r="I628" s="8">
        <f t="shared" si="9"/>
        <v>45444</v>
      </c>
    </row>
    <row r="629" spans="1:9" x14ac:dyDescent="0.25">
      <c r="A629" s="7" t="s">
        <v>719</v>
      </c>
      <c r="B629" s="4">
        <v>45472</v>
      </c>
      <c r="C629" s="3" t="s">
        <v>22</v>
      </c>
      <c r="D629" s="3" t="s">
        <v>46</v>
      </c>
      <c r="E629" s="3" t="s">
        <v>187</v>
      </c>
      <c r="F629" s="5">
        <v>558.82000000000005</v>
      </c>
      <c r="G629" s="3" t="s">
        <v>86</v>
      </c>
      <c r="H629" s="3" t="s">
        <v>14</v>
      </c>
      <c r="I629" s="8">
        <f t="shared" si="9"/>
        <v>45444</v>
      </c>
    </row>
    <row r="630" spans="1:9" x14ac:dyDescent="0.25">
      <c r="A630" s="7" t="s">
        <v>720</v>
      </c>
      <c r="B630" s="4">
        <v>45472</v>
      </c>
      <c r="C630" s="3" t="s">
        <v>39</v>
      </c>
      <c r="D630" s="3" t="s">
        <v>22</v>
      </c>
      <c r="E630" s="3" t="s">
        <v>93</v>
      </c>
      <c r="F630" s="5">
        <v>489.04</v>
      </c>
      <c r="G630" s="3" t="s">
        <v>27</v>
      </c>
      <c r="H630" s="3" t="s">
        <v>14</v>
      </c>
      <c r="I630" s="8">
        <f t="shared" si="9"/>
        <v>45444</v>
      </c>
    </row>
    <row r="631" spans="1:9" x14ac:dyDescent="0.25">
      <c r="A631" s="7" t="s">
        <v>721</v>
      </c>
      <c r="B631" s="4">
        <v>45472</v>
      </c>
      <c r="C631" s="3" t="s">
        <v>29</v>
      </c>
      <c r="D631" s="3" t="s">
        <v>82</v>
      </c>
      <c r="E631" s="3" t="s">
        <v>216</v>
      </c>
      <c r="F631" s="5">
        <v>729.05</v>
      </c>
      <c r="G631" s="3" t="s">
        <v>27</v>
      </c>
      <c r="H631" s="3" t="s">
        <v>14</v>
      </c>
      <c r="I631" s="8">
        <f t="shared" si="9"/>
        <v>45444</v>
      </c>
    </row>
    <row r="632" spans="1:9" x14ac:dyDescent="0.25">
      <c r="A632" s="7" t="s">
        <v>722</v>
      </c>
      <c r="B632" s="4">
        <v>45473</v>
      </c>
      <c r="C632" s="3" t="s">
        <v>54</v>
      </c>
      <c r="D632" s="3" t="s">
        <v>30</v>
      </c>
      <c r="E632" s="3" t="s">
        <v>65</v>
      </c>
      <c r="F632" s="5">
        <v>134.18</v>
      </c>
      <c r="G632" s="3" t="s">
        <v>24</v>
      </c>
      <c r="H632" s="3" t="s">
        <v>14</v>
      </c>
      <c r="I632" s="8">
        <f t="shared" si="9"/>
        <v>45444</v>
      </c>
    </row>
    <row r="633" spans="1:9" x14ac:dyDescent="0.25">
      <c r="A633" s="7" t="s">
        <v>723</v>
      </c>
      <c r="B633" s="4">
        <v>45473</v>
      </c>
      <c r="C633" s="3" t="s">
        <v>54</v>
      </c>
      <c r="D633" s="3" t="s">
        <v>40</v>
      </c>
      <c r="E633" s="3" t="s">
        <v>41</v>
      </c>
      <c r="F633" s="5">
        <v>683.08</v>
      </c>
      <c r="G633" s="3" t="s">
        <v>19</v>
      </c>
      <c r="H633" s="3" t="s">
        <v>14</v>
      </c>
      <c r="I633" s="8">
        <f t="shared" si="9"/>
        <v>45444</v>
      </c>
    </row>
    <row r="634" spans="1:9" x14ac:dyDescent="0.25">
      <c r="A634" s="7" t="s">
        <v>724</v>
      </c>
      <c r="B634" s="4">
        <v>45474</v>
      </c>
      <c r="C634" s="3" t="s">
        <v>39</v>
      </c>
      <c r="D634" s="3" t="s">
        <v>17</v>
      </c>
      <c r="E634" s="3" t="s">
        <v>18</v>
      </c>
      <c r="F634" s="5">
        <v>937.55</v>
      </c>
      <c r="G634" s="3" t="s">
        <v>19</v>
      </c>
      <c r="H634" s="3" t="s">
        <v>14</v>
      </c>
      <c r="I634" s="8">
        <f t="shared" si="9"/>
        <v>45474</v>
      </c>
    </row>
    <row r="635" spans="1:9" x14ac:dyDescent="0.25">
      <c r="A635" s="7" t="s">
        <v>725</v>
      </c>
      <c r="B635" s="4">
        <v>45474</v>
      </c>
      <c r="C635" s="3" t="s">
        <v>29</v>
      </c>
      <c r="D635" s="3" t="s">
        <v>11</v>
      </c>
      <c r="E635" s="3" t="s">
        <v>12</v>
      </c>
      <c r="F635" s="5">
        <v>15000</v>
      </c>
      <c r="G635" s="3" t="s">
        <v>13</v>
      </c>
      <c r="H635" s="3" t="s">
        <v>14</v>
      </c>
      <c r="I635" s="8">
        <f t="shared" si="9"/>
        <v>45474</v>
      </c>
    </row>
    <row r="636" spans="1:9" x14ac:dyDescent="0.25">
      <c r="A636" s="7" t="s">
        <v>726</v>
      </c>
      <c r="B636" s="4">
        <v>45475</v>
      </c>
      <c r="C636" s="3" t="s">
        <v>33</v>
      </c>
      <c r="D636" s="3" t="s">
        <v>50</v>
      </c>
      <c r="E636" s="3" t="s">
        <v>62</v>
      </c>
      <c r="F636" s="5">
        <v>17.04</v>
      </c>
      <c r="G636" s="3" t="s">
        <v>52</v>
      </c>
      <c r="H636" s="3" t="s">
        <v>14</v>
      </c>
      <c r="I636" s="8">
        <f t="shared" si="9"/>
        <v>45474</v>
      </c>
    </row>
    <row r="637" spans="1:9" x14ac:dyDescent="0.25">
      <c r="A637" s="7" t="s">
        <v>727</v>
      </c>
      <c r="B637" s="4">
        <v>45475</v>
      </c>
      <c r="C637" s="3" t="s">
        <v>16</v>
      </c>
      <c r="D637" s="3" t="s">
        <v>82</v>
      </c>
      <c r="E637" s="3" t="s">
        <v>103</v>
      </c>
      <c r="F637" s="5">
        <v>456.87</v>
      </c>
      <c r="G637" s="3" t="s">
        <v>13</v>
      </c>
      <c r="H637" s="3" t="s">
        <v>20</v>
      </c>
      <c r="I637" s="8">
        <f t="shared" si="9"/>
        <v>45474</v>
      </c>
    </row>
    <row r="638" spans="1:9" x14ac:dyDescent="0.25">
      <c r="A638" s="7" t="s">
        <v>728</v>
      </c>
      <c r="B638" s="4">
        <v>45475</v>
      </c>
      <c r="C638" s="3" t="s">
        <v>10</v>
      </c>
      <c r="D638" s="3" t="s">
        <v>17</v>
      </c>
      <c r="E638" s="3" t="s">
        <v>136</v>
      </c>
      <c r="F638" s="5">
        <v>1481.33</v>
      </c>
      <c r="G638" s="3" t="s">
        <v>24</v>
      </c>
      <c r="H638" s="3" t="s">
        <v>14</v>
      </c>
      <c r="I638" s="8">
        <f t="shared" si="9"/>
        <v>45474</v>
      </c>
    </row>
    <row r="639" spans="1:9" x14ac:dyDescent="0.25">
      <c r="A639" s="7" t="s">
        <v>729</v>
      </c>
      <c r="B639" s="4">
        <v>45475</v>
      </c>
      <c r="C639" s="3" t="s">
        <v>16</v>
      </c>
      <c r="D639" s="3" t="s">
        <v>30</v>
      </c>
      <c r="E639" s="3" t="s">
        <v>185</v>
      </c>
      <c r="F639" s="5">
        <v>29.02</v>
      </c>
      <c r="G639" s="3" t="s">
        <v>52</v>
      </c>
      <c r="H639" s="3" t="s">
        <v>14</v>
      </c>
      <c r="I639" s="8">
        <f t="shared" si="9"/>
        <v>45474</v>
      </c>
    </row>
    <row r="640" spans="1:9" x14ac:dyDescent="0.25">
      <c r="A640" s="7" t="s">
        <v>730</v>
      </c>
      <c r="B640" s="4">
        <v>45476</v>
      </c>
      <c r="C640" s="3" t="s">
        <v>33</v>
      </c>
      <c r="D640" s="3" t="s">
        <v>114</v>
      </c>
      <c r="E640" s="3" t="s">
        <v>115</v>
      </c>
      <c r="F640" s="5">
        <v>750.17</v>
      </c>
      <c r="G640" s="3" t="s">
        <v>19</v>
      </c>
      <c r="H640" s="3" t="s">
        <v>20</v>
      </c>
      <c r="I640" s="8">
        <f t="shared" si="9"/>
        <v>45474</v>
      </c>
    </row>
    <row r="641" spans="1:9" x14ac:dyDescent="0.25">
      <c r="A641" s="7" t="s">
        <v>731</v>
      </c>
      <c r="B641" s="4">
        <v>45476</v>
      </c>
      <c r="C641" s="3" t="s">
        <v>49</v>
      </c>
      <c r="D641" s="3" t="s">
        <v>50</v>
      </c>
      <c r="E641" s="3" t="s">
        <v>62</v>
      </c>
      <c r="F641" s="5">
        <v>47.07</v>
      </c>
      <c r="G641" s="3" t="s">
        <v>52</v>
      </c>
      <c r="H641" s="3" t="s">
        <v>14</v>
      </c>
      <c r="I641" s="8">
        <f t="shared" si="9"/>
        <v>45474</v>
      </c>
    </row>
    <row r="642" spans="1:9" x14ac:dyDescent="0.25">
      <c r="A642" s="7" t="s">
        <v>732</v>
      </c>
      <c r="B642" s="4">
        <v>45476</v>
      </c>
      <c r="C642" s="3" t="s">
        <v>16</v>
      </c>
      <c r="D642" s="3" t="s">
        <v>46</v>
      </c>
      <c r="E642" s="3" t="s">
        <v>187</v>
      </c>
      <c r="F642" s="5">
        <v>593.83000000000004</v>
      </c>
      <c r="G642" s="3" t="s">
        <v>86</v>
      </c>
      <c r="H642" s="3" t="s">
        <v>20</v>
      </c>
      <c r="I642" s="8">
        <f t="shared" si="9"/>
        <v>45474</v>
      </c>
    </row>
    <row r="643" spans="1:9" x14ac:dyDescent="0.25">
      <c r="A643" s="7" t="s">
        <v>733</v>
      </c>
      <c r="B643" s="4">
        <v>45476</v>
      </c>
      <c r="C643" s="3" t="s">
        <v>39</v>
      </c>
      <c r="D643" s="3" t="s">
        <v>36</v>
      </c>
      <c r="E643" s="3" t="s">
        <v>150</v>
      </c>
      <c r="F643" s="5">
        <v>120.63</v>
      </c>
      <c r="G643" s="3" t="s">
        <v>27</v>
      </c>
      <c r="H643" s="3" t="s">
        <v>14</v>
      </c>
      <c r="I643" s="8">
        <f t="shared" si="9"/>
        <v>45474</v>
      </c>
    </row>
    <row r="644" spans="1:9" x14ac:dyDescent="0.25">
      <c r="A644" s="7" t="s">
        <v>734</v>
      </c>
      <c r="B644" s="4">
        <v>45476</v>
      </c>
      <c r="C644" s="3" t="s">
        <v>10</v>
      </c>
      <c r="D644" s="3" t="s">
        <v>36</v>
      </c>
      <c r="E644" s="3" t="s">
        <v>37</v>
      </c>
      <c r="F644" s="5">
        <v>29.52</v>
      </c>
      <c r="G644" s="3" t="s">
        <v>19</v>
      </c>
      <c r="H644" s="3" t="s">
        <v>14</v>
      </c>
      <c r="I644" s="8">
        <f t="shared" si="9"/>
        <v>45474</v>
      </c>
    </row>
    <row r="645" spans="1:9" x14ac:dyDescent="0.25">
      <c r="A645" s="7" t="s">
        <v>735</v>
      </c>
      <c r="B645" s="4">
        <v>45477</v>
      </c>
      <c r="C645" s="3" t="s">
        <v>22</v>
      </c>
      <c r="D645" s="3" t="s">
        <v>43</v>
      </c>
      <c r="E645" s="3" t="s">
        <v>78</v>
      </c>
      <c r="F645" s="5">
        <v>376.8</v>
      </c>
      <c r="G645" s="3" t="s">
        <v>86</v>
      </c>
      <c r="H645" s="3" t="s">
        <v>14</v>
      </c>
      <c r="I645" s="8">
        <f t="shared" ref="I645:I708" si="10">DATE(YEAR(B645),MONTH(B645),1)</f>
        <v>45474</v>
      </c>
    </row>
    <row r="646" spans="1:9" x14ac:dyDescent="0.25">
      <c r="A646" s="7" t="s">
        <v>736</v>
      </c>
      <c r="B646" s="4">
        <v>45477</v>
      </c>
      <c r="C646" s="3" t="s">
        <v>29</v>
      </c>
      <c r="D646" s="3" t="s">
        <v>50</v>
      </c>
      <c r="E646" s="3" t="s">
        <v>51</v>
      </c>
      <c r="F646" s="5">
        <v>95.01</v>
      </c>
      <c r="G646" s="3" t="s">
        <v>52</v>
      </c>
      <c r="H646" s="3" t="s">
        <v>14</v>
      </c>
      <c r="I646" s="8">
        <f t="shared" si="10"/>
        <v>45474</v>
      </c>
    </row>
    <row r="647" spans="1:9" x14ac:dyDescent="0.25">
      <c r="A647" s="7" t="s">
        <v>737</v>
      </c>
      <c r="B647" s="4">
        <v>45478</v>
      </c>
      <c r="C647" s="3" t="s">
        <v>22</v>
      </c>
      <c r="D647" s="3" t="s">
        <v>43</v>
      </c>
      <c r="E647" s="3" t="s">
        <v>44</v>
      </c>
      <c r="F647" s="5">
        <v>315.99</v>
      </c>
      <c r="G647" s="3" t="s">
        <v>86</v>
      </c>
      <c r="H647" s="3" t="s">
        <v>14</v>
      </c>
      <c r="I647" s="8">
        <f t="shared" si="10"/>
        <v>45474</v>
      </c>
    </row>
    <row r="648" spans="1:9" x14ac:dyDescent="0.25">
      <c r="A648" s="7" t="s">
        <v>738</v>
      </c>
      <c r="B648" s="4">
        <v>45478</v>
      </c>
      <c r="C648" s="3" t="s">
        <v>33</v>
      </c>
      <c r="D648" s="3" t="s">
        <v>50</v>
      </c>
      <c r="E648" s="3" t="s">
        <v>166</v>
      </c>
      <c r="F648" s="5">
        <v>123.58</v>
      </c>
      <c r="G648" s="3" t="s">
        <v>24</v>
      </c>
      <c r="H648" s="3" t="s">
        <v>14</v>
      </c>
      <c r="I648" s="8">
        <f t="shared" si="10"/>
        <v>45474</v>
      </c>
    </row>
    <row r="649" spans="1:9" x14ac:dyDescent="0.25">
      <c r="A649" s="7" t="s">
        <v>739</v>
      </c>
      <c r="B649" s="4">
        <v>45478</v>
      </c>
      <c r="C649" s="3" t="s">
        <v>29</v>
      </c>
      <c r="D649" s="3" t="s">
        <v>30</v>
      </c>
      <c r="E649" s="3" t="s">
        <v>31</v>
      </c>
      <c r="F649" s="5">
        <v>51.41</v>
      </c>
      <c r="G649" s="3" t="s">
        <v>24</v>
      </c>
      <c r="H649" s="3" t="s">
        <v>14</v>
      </c>
      <c r="I649" s="8">
        <f t="shared" si="10"/>
        <v>45474</v>
      </c>
    </row>
    <row r="650" spans="1:9" x14ac:dyDescent="0.25">
      <c r="A650" s="7" t="s">
        <v>740</v>
      </c>
      <c r="B650" s="4">
        <v>45479</v>
      </c>
      <c r="C650" s="3" t="s">
        <v>49</v>
      </c>
      <c r="D650" s="3" t="s">
        <v>50</v>
      </c>
      <c r="E650" s="3" t="s">
        <v>62</v>
      </c>
      <c r="F650" s="5">
        <v>36.520000000000003</v>
      </c>
      <c r="G650" s="3" t="s">
        <v>24</v>
      </c>
      <c r="H650" s="3" t="s">
        <v>14</v>
      </c>
      <c r="I650" s="8">
        <f t="shared" si="10"/>
        <v>45474</v>
      </c>
    </row>
    <row r="651" spans="1:9" x14ac:dyDescent="0.25">
      <c r="A651" s="7" t="s">
        <v>741</v>
      </c>
      <c r="B651" s="4">
        <v>45480</v>
      </c>
      <c r="C651" s="3" t="s">
        <v>39</v>
      </c>
      <c r="D651" s="3" t="s">
        <v>40</v>
      </c>
      <c r="E651" s="3" t="s">
        <v>138</v>
      </c>
      <c r="F651" s="5">
        <v>95.14</v>
      </c>
      <c r="G651" s="3" t="s">
        <v>27</v>
      </c>
      <c r="H651" s="3" t="s">
        <v>14</v>
      </c>
      <c r="I651" s="8">
        <f t="shared" si="10"/>
        <v>45474</v>
      </c>
    </row>
    <row r="652" spans="1:9" x14ac:dyDescent="0.25">
      <c r="A652" s="7" t="s">
        <v>742</v>
      </c>
      <c r="B652" s="4">
        <v>45482</v>
      </c>
      <c r="C652" s="3" t="s">
        <v>10</v>
      </c>
      <c r="D652" s="3" t="s">
        <v>82</v>
      </c>
      <c r="E652" s="3" t="s">
        <v>227</v>
      </c>
      <c r="F652" s="5">
        <v>2622.43</v>
      </c>
      <c r="G652" s="3" t="s">
        <v>13</v>
      </c>
      <c r="H652" s="3" t="s">
        <v>14</v>
      </c>
      <c r="I652" s="8">
        <f t="shared" si="10"/>
        <v>45474</v>
      </c>
    </row>
    <row r="653" spans="1:9" x14ac:dyDescent="0.25">
      <c r="A653" s="7" t="s">
        <v>743</v>
      </c>
      <c r="B653" s="4">
        <v>45482</v>
      </c>
      <c r="C653" s="3" t="s">
        <v>22</v>
      </c>
      <c r="D653" s="3" t="s">
        <v>22</v>
      </c>
      <c r="E653" s="3" t="s">
        <v>75</v>
      </c>
      <c r="F653" s="5">
        <v>170.07</v>
      </c>
      <c r="G653" s="3" t="s">
        <v>19</v>
      </c>
      <c r="H653" s="3" t="s">
        <v>14</v>
      </c>
      <c r="I653" s="8">
        <f t="shared" si="10"/>
        <v>45474</v>
      </c>
    </row>
    <row r="654" spans="1:9" x14ac:dyDescent="0.25">
      <c r="A654" s="7" t="s">
        <v>744</v>
      </c>
      <c r="B654" s="4">
        <v>45482</v>
      </c>
      <c r="C654" s="3" t="s">
        <v>16</v>
      </c>
      <c r="D654" s="3" t="s">
        <v>46</v>
      </c>
      <c r="E654" s="3" t="s">
        <v>47</v>
      </c>
      <c r="F654" s="5">
        <v>544.13</v>
      </c>
      <c r="G654" s="3" t="s">
        <v>86</v>
      </c>
      <c r="H654" s="3" t="s">
        <v>14</v>
      </c>
      <c r="I654" s="8">
        <f t="shared" si="10"/>
        <v>45474</v>
      </c>
    </row>
    <row r="655" spans="1:9" x14ac:dyDescent="0.25">
      <c r="A655" s="7" t="s">
        <v>745</v>
      </c>
      <c r="B655" s="4">
        <v>45483</v>
      </c>
      <c r="C655" s="3" t="s">
        <v>10</v>
      </c>
      <c r="D655" s="3" t="s">
        <v>17</v>
      </c>
      <c r="E655" s="3" t="s">
        <v>18</v>
      </c>
      <c r="F655" s="5">
        <v>309.70999999999998</v>
      </c>
      <c r="G655" s="3" t="s">
        <v>19</v>
      </c>
      <c r="H655" s="3" t="s">
        <v>14</v>
      </c>
      <c r="I655" s="8">
        <f t="shared" si="10"/>
        <v>45474</v>
      </c>
    </row>
    <row r="656" spans="1:9" x14ac:dyDescent="0.25">
      <c r="A656" s="7" t="s">
        <v>746</v>
      </c>
      <c r="B656" s="4">
        <v>45483</v>
      </c>
      <c r="C656" s="3" t="s">
        <v>16</v>
      </c>
      <c r="D656" s="3" t="s">
        <v>17</v>
      </c>
      <c r="E656" s="3" t="s">
        <v>154</v>
      </c>
      <c r="F656" s="5">
        <v>1417.29</v>
      </c>
      <c r="G656" s="3" t="s">
        <v>24</v>
      </c>
      <c r="H656" s="3" t="s">
        <v>14</v>
      </c>
      <c r="I656" s="8">
        <f t="shared" si="10"/>
        <v>45474</v>
      </c>
    </row>
    <row r="657" spans="1:9" x14ac:dyDescent="0.25">
      <c r="A657" s="7" t="s">
        <v>747</v>
      </c>
      <c r="B657" s="4">
        <v>45483</v>
      </c>
      <c r="C657" s="3" t="s">
        <v>29</v>
      </c>
      <c r="D657" s="3" t="s">
        <v>40</v>
      </c>
      <c r="E657" s="3" t="s">
        <v>182</v>
      </c>
      <c r="F657" s="5">
        <v>460.76</v>
      </c>
      <c r="G657" s="3" t="s">
        <v>19</v>
      </c>
      <c r="H657" s="3" t="s">
        <v>14</v>
      </c>
      <c r="I657" s="8">
        <f t="shared" si="10"/>
        <v>45474</v>
      </c>
    </row>
    <row r="658" spans="1:9" x14ac:dyDescent="0.25">
      <c r="A658" s="7" t="s">
        <v>748</v>
      </c>
      <c r="B658" s="4">
        <v>45484</v>
      </c>
      <c r="C658" s="3" t="s">
        <v>22</v>
      </c>
      <c r="D658" s="3" t="s">
        <v>114</v>
      </c>
      <c r="E658" s="3" t="s">
        <v>115</v>
      </c>
      <c r="F658" s="5">
        <v>1153.44</v>
      </c>
      <c r="G658" s="3" t="s">
        <v>24</v>
      </c>
      <c r="H658" s="3" t="s">
        <v>20</v>
      </c>
      <c r="I658" s="8">
        <f t="shared" si="10"/>
        <v>45474</v>
      </c>
    </row>
    <row r="659" spans="1:9" x14ac:dyDescent="0.25">
      <c r="A659" s="7" t="s">
        <v>749</v>
      </c>
      <c r="B659" s="4">
        <v>45484</v>
      </c>
      <c r="C659" s="3" t="s">
        <v>29</v>
      </c>
      <c r="D659" s="3" t="s">
        <v>114</v>
      </c>
      <c r="E659" s="3" t="s">
        <v>157</v>
      </c>
      <c r="F659" s="5">
        <v>203.73</v>
      </c>
      <c r="G659" s="3" t="s">
        <v>24</v>
      </c>
      <c r="H659" s="3" t="s">
        <v>14</v>
      </c>
      <c r="I659" s="8">
        <f t="shared" si="10"/>
        <v>45474</v>
      </c>
    </row>
    <row r="660" spans="1:9" x14ac:dyDescent="0.25">
      <c r="A660" s="7" t="s">
        <v>750</v>
      </c>
      <c r="B660" s="4">
        <v>45484</v>
      </c>
      <c r="C660" s="3" t="s">
        <v>39</v>
      </c>
      <c r="D660" s="3" t="s">
        <v>17</v>
      </c>
      <c r="E660" s="3" t="s">
        <v>136</v>
      </c>
      <c r="F660" s="5">
        <v>1182.8499999999999</v>
      </c>
      <c r="G660" s="3" t="s">
        <v>24</v>
      </c>
      <c r="H660" s="3" t="s">
        <v>14</v>
      </c>
      <c r="I660" s="8">
        <f t="shared" si="10"/>
        <v>45474</v>
      </c>
    </row>
    <row r="661" spans="1:9" x14ac:dyDescent="0.25">
      <c r="A661" s="7" t="s">
        <v>751</v>
      </c>
      <c r="B661" s="4">
        <v>45485</v>
      </c>
      <c r="C661" s="3" t="s">
        <v>39</v>
      </c>
      <c r="D661" s="3" t="s">
        <v>50</v>
      </c>
      <c r="E661" s="3" t="s">
        <v>62</v>
      </c>
      <c r="F661" s="5">
        <v>76.41</v>
      </c>
      <c r="G661" s="3" t="s">
        <v>52</v>
      </c>
      <c r="H661" s="3" t="s">
        <v>14</v>
      </c>
      <c r="I661" s="8">
        <f t="shared" si="10"/>
        <v>45474</v>
      </c>
    </row>
    <row r="662" spans="1:9" x14ac:dyDescent="0.25">
      <c r="A662" s="7" t="s">
        <v>752</v>
      </c>
      <c r="B662" s="4">
        <v>45485</v>
      </c>
      <c r="C662" s="3" t="s">
        <v>22</v>
      </c>
      <c r="D662" s="3" t="s">
        <v>50</v>
      </c>
      <c r="E662" s="3" t="s">
        <v>62</v>
      </c>
      <c r="F662" s="5">
        <v>41.68</v>
      </c>
      <c r="G662" s="3" t="s">
        <v>52</v>
      </c>
      <c r="H662" s="3" t="s">
        <v>20</v>
      </c>
      <c r="I662" s="8">
        <f t="shared" si="10"/>
        <v>45474</v>
      </c>
    </row>
    <row r="663" spans="1:9" x14ac:dyDescent="0.25">
      <c r="A663" s="7" t="s">
        <v>753</v>
      </c>
      <c r="B663" s="4">
        <v>45485</v>
      </c>
      <c r="C663" s="3" t="s">
        <v>10</v>
      </c>
      <c r="D663" s="3" t="s">
        <v>82</v>
      </c>
      <c r="E663" s="3" t="s">
        <v>83</v>
      </c>
      <c r="F663" s="5">
        <v>1374.28</v>
      </c>
      <c r="G663" s="3" t="s">
        <v>27</v>
      </c>
      <c r="H663" s="3" t="s">
        <v>20</v>
      </c>
      <c r="I663" s="8">
        <f t="shared" si="10"/>
        <v>45474</v>
      </c>
    </row>
    <row r="664" spans="1:9" x14ac:dyDescent="0.25">
      <c r="A664" s="7" t="s">
        <v>754</v>
      </c>
      <c r="B664" s="4">
        <v>45485</v>
      </c>
      <c r="C664" s="3" t="s">
        <v>39</v>
      </c>
      <c r="D664" s="3" t="s">
        <v>36</v>
      </c>
      <c r="E664" s="3" t="s">
        <v>37</v>
      </c>
      <c r="F664" s="5">
        <v>155.27000000000001</v>
      </c>
      <c r="G664" s="3" t="s">
        <v>19</v>
      </c>
      <c r="H664" s="3" t="s">
        <v>14</v>
      </c>
      <c r="I664" s="8">
        <f t="shared" si="10"/>
        <v>45474</v>
      </c>
    </row>
    <row r="665" spans="1:9" x14ac:dyDescent="0.25">
      <c r="A665" s="7" t="s">
        <v>755</v>
      </c>
      <c r="B665" s="4">
        <v>45485</v>
      </c>
      <c r="C665" s="3" t="s">
        <v>33</v>
      </c>
      <c r="D665" s="3" t="s">
        <v>46</v>
      </c>
      <c r="E665" s="3" t="s">
        <v>47</v>
      </c>
      <c r="F665" s="5">
        <v>208.33</v>
      </c>
      <c r="G665" s="3" t="s">
        <v>86</v>
      </c>
      <c r="H665" s="3" t="s">
        <v>14</v>
      </c>
      <c r="I665" s="8">
        <f t="shared" si="10"/>
        <v>45474</v>
      </c>
    </row>
    <row r="666" spans="1:9" x14ac:dyDescent="0.25">
      <c r="A666" s="7" t="s">
        <v>756</v>
      </c>
      <c r="B666" s="4">
        <v>45485</v>
      </c>
      <c r="C666" s="3" t="s">
        <v>29</v>
      </c>
      <c r="D666" s="3" t="s">
        <v>40</v>
      </c>
      <c r="E666" s="3" t="s">
        <v>41</v>
      </c>
      <c r="F666" s="5">
        <v>882.56</v>
      </c>
      <c r="G666" s="3" t="s">
        <v>19</v>
      </c>
      <c r="H666" s="3" t="s">
        <v>14</v>
      </c>
      <c r="I666" s="8">
        <f t="shared" si="10"/>
        <v>45474</v>
      </c>
    </row>
    <row r="667" spans="1:9" x14ac:dyDescent="0.25">
      <c r="A667" s="7" t="s">
        <v>757</v>
      </c>
      <c r="B667" s="4">
        <v>45486</v>
      </c>
      <c r="C667" s="3" t="s">
        <v>16</v>
      </c>
      <c r="D667" s="3" t="s">
        <v>55</v>
      </c>
      <c r="E667" s="3" t="s">
        <v>56</v>
      </c>
      <c r="F667" s="5">
        <v>1784.18</v>
      </c>
      <c r="G667" s="3" t="s">
        <v>27</v>
      </c>
      <c r="H667" s="3" t="s">
        <v>20</v>
      </c>
      <c r="I667" s="8">
        <f t="shared" si="10"/>
        <v>45474</v>
      </c>
    </row>
    <row r="668" spans="1:9" x14ac:dyDescent="0.25">
      <c r="A668" s="7" t="s">
        <v>758</v>
      </c>
      <c r="B668" s="4">
        <v>45486</v>
      </c>
      <c r="C668" s="3" t="s">
        <v>54</v>
      </c>
      <c r="D668" s="3" t="s">
        <v>30</v>
      </c>
      <c r="E668" s="3" t="s">
        <v>214</v>
      </c>
      <c r="F668" s="5">
        <v>73.900000000000006</v>
      </c>
      <c r="G668" s="3" t="s">
        <v>19</v>
      </c>
      <c r="H668" s="3" t="s">
        <v>14</v>
      </c>
      <c r="I668" s="8">
        <f t="shared" si="10"/>
        <v>45474</v>
      </c>
    </row>
    <row r="669" spans="1:9" x14ac:dyDescent="0.25">
      <c r="A669" s="7" t="s">
        <v>759</v>
      </c>
      <c r="B669" s="4">
        <v>45486</v>
      </c>
      <c r="C669" s="3" t="s">
        <v>16</v>
      </c>
      <c r="D669" s="3" t="s">
        <v>17</v>
      </c>
      <c r="E669" s="3" t="s">
        <v>197</v>
      </c>
      <c r="F669" s="5">
        <v>250.19</v>
      </c>
      <c r="G669" s="3" t="s">
        <v>19</v>
      </c>
      <c r="H669" s="3" t="s">
        <v>14</v>
      </c>
      <c r="I669" s="8">
        <f t="shared" si="10"/>
        <v>45474</v>
      </c>
    </row>
    <row r="670" spans="1:9" x14ac:dyDescent="0.25">
      <c r="A670" s="7" t="s">
        <v>760</v>
      </c>
      <c r="B670" s="4">
        <v>45486</v>
      </c>
      <c r="C670" s="3" t="s">
        <v>54</v>
      </c>
      <c r="D670" s="3" t="s">
        <v>36</v>
      </c>
      <c r="E670" s="3" t="s">
        <v>150</v>
      </c>
      <c r="F670" s="5">
        <v>82.82</v>
      </c>
      <c r="G670" s="3" t="s">
        <v>19</v>
      </c>
      <c r="H670" s="3" t="s">
        <v>14</v>
      </c>
      <c r="I670" s="8">
        <f t="shared" si="10"/>
        <v>45474</v>
      </c>
    </row>
    <row r="671" spans="1:9" x14ac:dyDescent="0.25">
      <c r="A671" s="7" t="s">
        <v>761</v>
      </c>
      <c r="B671" s="4">
        <v>45487</v>
      </c>
      <c r="C671" s="3" t="s">
        <v>54</v>
      </c>
      <c r="D671" s="3" t="s">
        <v>30</v>
      </c>
      <c r="E671" s="3" t="s">
        <v>34</v>
      </c>
      <c r="F671" s="5">
        <v>44.58</v>
      </c>
      <c r="G671" s="3" t="s">
        <v>19</v>
      </c>
      <c r="H671" s="3" t="s">
        <v>14</v>
      </c>
      <c r="I671" s="8">
        <f t="shared" si="10"/>
        <v>45474</v>
      </c>
    </row>
    <row r="672" spans="1:9" x14ac:dyDescent="0.25">
      <c r="A672" s="7" t="s">
        <v>762</v>
      </c>
      <c r="B672" s="4">
        <v>45487</v>
      </c>
      <c r="C672" s="3" t="s">
        <v>39</v>
      </c>
      <c r="D672" s="3" t="s">
        <v>43</v>
      </c>
      <c r="E672" s="3" t="s">
        <v>85</v>
      </c>
      <c r="F672" s="5">
        <v>184.86</v>
      </c>
      <c r="G672" s="3" t="s">
        <v>13</v>
      </c>
      <c r="H672" s="3" t="s">
        <v>14</v>
      </c>
      <c r="I672" s="8">
        <f t="shared" si="10"/>
        <v>45474</v>
      </c>
    </row>
    <row r="673" spans="1:9" x14ac:dyDescent="0.25">
      <c r="A673" s="7" t="s">
        <v>763</v>
      </c>
      <c r="B673" s="4">
        <v>45488</v>
      </c>
      <c r="C673" s="3" t="s">
        <v>39</v>
      </c>
      <c r="D673" s="3" t="s">
        <v>50</v>
      </c>
      <c r="E673" s="3" t="s">
        <v>51</v>
      </c>
      <c r="F673" s="5">
        <v>141.62</v>
      </c>
      <c r="G673" s="3" t="s">
        <v>52</v>
      </c>
      <c r="H673" s="3" t="s">
        <v>14</v>
      </c>
      <c r="I673" s="8">
        <f t="shared" si="10"/>
        <v>45474</v>
      </c>
    </row>
    <row r="674" spans="1:9" x14ac:dyDescent="0.25">
      <c r="A674" s="7" t="s">
        <v>764</v>
      </c>
      <c r="B674" s="4">
        <v>45488</v>
      </c>
      <c r="C674" s="3" t="s">
        <v>39</v>
      </c>
      <c r="D674" s="3" t="s">
        <v>50</v>
      </c>
      <c r="E674" s="3" t="s">
        <v>62</v>
      </c>
      <c r="F674" s="5">
        <v>12.02</v>
      </c>
      <c r="G674" s="3" t="s">
        <v>24</v>
      </c>
      <c r="H674" s="3" t="s">
        <v>14</v>
      </c>
      <c r="I674" s="8">
        <f t="shared" si="10"/>
        <v>45474</v>
      </c>
    </row>
    <row r="675" spans="1:9" x14ac:dyDescent="0.25">
      <c r="A675" s="7" t="s">
        <v>765</v>
      </c>
      <c r="B675" s="4">
        <v>45488</v>
      </c>
      <c r="C675" s="3" t="s">
        <v>33</v>
      </c>
      <c r="D675" s="3" t="s">
        <v>17</v>
      </c>
      <c r="E675" s="3" t="s">
        <v>154</v>
      </c>
      <c r="F675" s="5">
        <v>1328.08</v>
      </c>
      <c r="G675" s="3" t="s">
        <v>19</v>
      </c>
      <c r="H675" s="3" t="s">
        <v>14</v>
      </c>
      <c r="I675" s="8">
        <f t="shared" si="10"/>
        <v>45474</v>
      </c>
    </row>
    <row r="676" spans="1:9" x14ac:dyDescent="0.25">
      <c r="A676" s="7" t="s">
        <v>766</v>
      </c>
      <c r="B676" s="4">
        <v>45489</v>
      </c>
      <c r="C676" s="3" t="s">
        <v>10</v>
      </c>
      <c r="D676" s="3" t="s">
        <v>50</v>
      </c>
      <c r="E676" s="3" t="s">
        <v>51</v>
      </c>
      <c r="F676" s="5">
        <v>36.64</v>
      </c>
      <c r="G676" s="3" t="s">
        <v>24</v>
      </c>
      <c r="H676" s="3" t="s">
        <v>14</v>
      </c>
      <c r="I676" s="8">
        <f t="shared" si="10"/>
        <v>45474</v>
      </c>
    </row>
    <row r="677" spans="1:9" x14ac:dyDescent="0.25">
      <c r="A677" s="7" t="s">
        <v>767</v>
      </c>
      <c r="B677" s="4">
        <v>45489</v>
      </c>
      <c r="C677" s="3" t="s">
        <v>54</v>
      </c>
      <c r="D677" s="3" t="s">
        <v>40</v>
      </c>
      <c r="E677" s="3" t="s">
        <v>148</v>
      </c>
      <c r="F677" s="5">
        <v>88.33</v>
      </c>
      <c r="G677" s="3" t="s">
        <v>19</v>
      </c>
      <c r="H677" s="3" t="s">
        <v>14</v>
      </c>
      <c r="I677" s="8">
        <f t="shared" si="10"/>
        <v>45474</v>
      </c>
    </row>
    <row r="678" spans="1:9" x14ac:dyDescent="0.25">
      <c r="A678" s="7" t="s">
        <v>768</v>
      </c>
      <c r="B678" s="4">
        <v>45489</v>
      </c>
      <c r="C678" s="3" t="s">
        <v>10</v>
      </c>
      <c r="D678" s="3" t="s">
        <v>30</v>
      </c>
      <c r="E678" s="3" t="s">
        <v>31</v>
      </c>
      <c r="F678" s="5">
        <v>71.37</v>
      </c>
      <c r="G678" s="3" t="s">
        <v>19</v>
      </c>
      <c r="H678" s="3" t="s">
        <v>14</v>
      </c>
      <c r="I678" s="8">
        <f t="shared" si="10"/>
        <v>45474</v>
      </c>
    </row>
    <row r="679" spans="1:9" x14ac:dyDescent="0.25">
      <c r="A679" s="7" t="s">
        <v>769</v>
      </c>
      <c r="B679" s="4">
        <v>45490</v>
      </c>
      <c r="C679" s="3" t="s">
        <v>39</v>
      </c>
      <c r="D679" s="3" t="s">
        <v>22</v>
      </c>
      <c r="E679" s="3" t="s">
        <v>93</v>
      </c>
      <c r="F679" s="5">
        <v>1467</v>
      </c>
      <c r="G679" s="3" t="s">
        <v>27</v>
      </c>
      <c r="H679" s="3" t="s">
        <v>14</v>
      </c>
      <c r="I679" s="8">
        <f t="shared" si="10"/>
        <v>45474</v>
      </c>
    </row>
    <row r="680" spans="1:9" x14ac:dyDescent="0.25">
      <c r="A680" s="7" t="s">
        <v>770</v>
      </c>
      <c r="B680" s="4">
        <v>45491</v>
      </c>
      <c r="C680" s="3" t="s">
        <v>39</v>
      </c>
      <c r="D680" s="3" t="s">
        <v>50</v>
      </c>
      <c r="E680" s="3" t="s">
        <v>51</v>
      </c>
      <c r="F680" s="5">
        <v>32.9</v>
      </c>
      <c r="G680" s="3" t="s">
        <v>24</v>
      </c>
      <c r="H680" s="3" t="s">
        <v>14</v>
      </c>
      <c r="I680" s="8">
        <f t="shared" si="10"/>
        <v>45474</v>
      </c>
    </row>
    <row r="681" spans="1:9" x14ac:dyDescent="0.25">
      <c r="A681" s="7" t="s">
        <v>771</v>
      </c>
      <c r="B681" s="4">
        <v>45491</v>
      </c>
      <c r="C681" s="3" t="s">
        <v>49</v>
      </c>
      <c r="D681" s="3" t="s">
        <v>17</v>
      </c>
      <c r="E681" s="3" t="s">
        <v>171</v>
      </c>
      <c r="F681" s="5">
        <v>1465.86</v>
      </c>
      <c r="G681" s="3" t="s">
        <v>24</v>
      </c>
      <c r="H681" s="3" t="s">
        <v>14</v>
      </c>
      <c r="I681" s="8">
        <f t="shared" si="10"/>
        <v>45474</v>
      </c>
    </row>
    <row r="682" spans="1:9" x14ac:dyDescent="0.25">
      <c r="A682" s="7" t="s">
        <v>772</v>
      </c>
      <c r="B682" s="4">
        <v>45491</v>
      </c>
      <c r="C682" s="3" t="s">
        <v>22</v>
      </c>
      <c r="D682" s="3" t="s">
        <v>17</v>
      </c>
      <c r="E682" s="3" t="s">
        <v>197</v>
      </c>
      <c r="F682" s="5">
        <v>588.79</v>
      </c>
      <c r="G682" s="3" t="s">
        <v>19</v>
      </c>
      <c r="H682" s="3" t="s">
        <v>14</v>
      </c>
      <c r="I682" s="8">
        <f t="shared" si="10"/>
        <v>45474</v>
      </c>
    </row>
    <row r="683" spans="1:9" x14ac:dyDescent="0.25">
      <c r="A683" s="7" t="s">
        <v>773</v>
      </c>
      <c r="B683" s="4">
        <v>45491</v>
      </c>
      <c r="C683" s="3" t="s">
        <v>33</v>
      </c>
      <c r="D683" s="3" t="s">
        <v>40</v>
      </c>
      <c r="E683" s="3" t="s">
        <v>105</v>
      </c>
      <c r="F683" s="5">
        <v>760.45</v>
      </c>
      <c r="G683" s="3" t="s">
        <v>19</v>
      </c>
      <c r="H683" s="3" t="s">
        <v>14</v>
      </c>
      <c r="I683" s="8">
        <f t="shared" si="10"/>
        <v>45474</v>
      </c>
    </row>
    <row r="684" spans="1:9" x14ac:dyDescent="0.25">
      <c r="A684" s="7" t="s">
        <v>774</v>
      </c>
      <c r="B684" s="4">
        <v>45491</v>
      </c>
      <c r="C684" s="3" t="s">
        <v>49</v>
      </c>
      <c r="D684" s="3" t="s">
        <v>17</v>
      </c>
      <c r="E684" s="3" t="s">
        <v>80</v>
      </c>
      <c r="F684" s="5">
        <v>681.57</v>
      </c>
      <c r="G684" s="3" t="s">
        <v>19</v>
      </c>
      <c r="H684" s="3" t="s">
        <v>14</v>
      </c>
      <c r="I684" s="8">
        <f t="shared" si="10"/>
        <v>45474</v>
      </c>
    </row>
    <row r="685" spans="1:9" x14ac:dyDescent="0.25">
      <c r="A685" s="7" t="s">
        <v>775</v>
      </c>
      <c r="B685" s="4">
        <v>45492</v>
      </c>
      <c r="C685" s="3" t="s">
        <v>16</v>
      </c>
      <c r="D685" s="3" t="s">
        <v>43</v>
      </c>
      <c r="E685" s="3" t="s">
        <v>336</v>
      </c>
      <c r="F685" s="5">
        <v>251.79</v>
      </c>
      <c r="G685" s="3" t="s">
        <v>13</v>
      </c>
      <c r="H685" s="3" t="s">
        <v>20</v>
      </c>
      <c r="I685" s="8">
        <f t="shared" si="10"/>
        <v>45474</v>
      </c>
    </row>
    <row r="686" spans="1:9" x14ac:dyDescent="0.25">
      <c r="A686" s="7" t="s">
        <v>776</v>
      </c>
      <c r="B686" s="4">
        <v>45492</v>
      </c>
      <c r="C686" s="3" t="s">
        <v>49</v>
      </c>
      <c r="D686" s="3" t="s">
        <v>82</v>
      </c>
      <c r="E686" s="3" t="s">
        <v>103</v>
      </c>
      <c r="F686" s="5">
        <v>573.22</v>
      </c>
      <c r="G686" s="3" t="s">
        <v>27</v>
      </c>
      <c r="H686" s="3" t="s">
        <v>20</v>
      </c>
      <c r="I686" s="8">
        <f t="shared" si="10"/>
        <v>45474</v>
      </c>
    </row>
    <row r="687" spans="1:9" x14ac:dyDescent="0.25">
      <c r="A687" s="7" t="s">
        <v>777</v>
      </c>
      <c r="B687" s="4">
        <v>45492</v>
      </c>
      <c r="C687" s="3" t="s">
        <v>10</v>
      </c>
      <c r="D687" s="3" t="s">
        <v>17</v>
      </c>
      <c r="E687" s="3" t="s">
        <v>23</v>
      </c>
      <c r="F687" s="5">
        <v>1086.96</v>
      </c>
      <c r="G687" s="3" t="s">
        <v>19</v>
      </c>
      <c r="H687" s="3" t="s">
        <v>14</v>
      </c>
      <c r="I687" s="8">
        <f t="shared" si="10"/>
        <v>45474</v>
      </c>
    </row>
    <row r="688" spans="1:9" x14ac:dyDescent="0.25">
      <c r="A688" s="7" t="s">
        <v>778</v>
      </c>
      <c r="B688" s="4">
        <v>45492</v>
      </c>
      <c r="C688" s="3" t="s">
        <v>33</v>
      </c>
      <c r="D688" s="3" t="s">
        <v>36</v>
      </c>
      <c r="E688" s="3" t="s">
        <v>88</v>
      </c>
      <c r="F688" s="5">
        <v>54.45</v>
      </c>
      <c r="G688" s="3" t="s">
        <v>27</v>
      </c>
      <c r="H688" s="3" t="s">
        <v>20</v>
      </c>
      <c r="I688" s="8">
        <f t="shared" si="10"/>
        <v>45474</v>
      </c>
    </row>
    <row r="689" spans="1:9" x14ac:dyDescent="0.25">
      <c r="A689" s="7" t="s">
        <v>779</v>
      </c>
      <c r="B689" s="4">
        <v>45492</v>
      </c>
      <c r="C689" s="3" t="s">
        <v>10</v>
      </c>
      <c r="D689" s="3" t="s">
        <v>82</v>
      </c>
      <c r="E689" s="3" t="s">
        <v>83</v>
      </c>
      <c r="F689" s="5">
        <v>2347.61</v>
      </c>
      <c r="G689" s="3" t="s">
        <v>27</v>
      </c>
      <c r="H689" s="3" t="s">
        <v>14</v>
      </c>
      <c r="I689" s="8">
        <f t="shared" si="10"/>
        <v>45474</v>
      </c>
    </row>
    <row r="690" spans="1:9" x14ac:dyDescent="0.25">
      <c r="A690" s="7" t="s">
        <v>780</v>
      </c>
      <c r="B690" s="4">
        <v>45493</v>
      </c>
      <c r="C690" s="3" t="s">
        <v>39</v>
      </c>
      <c r="D690" s="3" t="s">
        <v>82</v>
      </c>
      <c r="E690" s="3" t="s">
        <v>227</v>
      </c>
      <c r="F690" s="5">
        <v>2709.91</v>
      </c>
      <c r="G690" s="3" t="s">
        <v>27</v>
      </c>
      <c r="H690" s="3" t="s">
        <v>14</v>
      </c>
      <c r="I690" s="8">
        <f t="shared" si="10"/>
        <v>45474</v>
      </c>
    </row>
    <row r="691" spans="1:9" x14ac:dyDescent="0.25">
      <c r="A691" s="7" t="s">
        <v>781</v>
      </c>
      <c r="B691" s="4">
        <v>45493</v>
      </c>
      <c r="C691" s="3" t="s">
        <v>33</v>
      </c>
      <c r="D691" s="3" t="s">
        <v>50</v>
      </c>
      <c r="E691" s="3" t="s">
        <v>51</v>
      </c>
      <c r="F691" s="5">
        <v>51.28</v>
      </c>
      <c r="G691" s="3" t="s">
        <v>24</v>
      </c>
      <c r="H691" s="3" t="s">
        <v>14</v>
      </c>
      <c r="I691" s="8">
        <f t="shared" si="10"/>
        <v>45474</v>
      </c>
    </row>
    <row r="692" spans="1:9" x14ac:dyDescent="0.25">
      <c r="A692" s="7" t="s">
        <v>782</v>
      </c>
      <c r="B692" s="4">
        <v>45493</v>
      </c>
      <c r="C692" s="3" t="s">
        <v>22</v>
      </c>
      <c r="D692" s="3" t="s">
        <v>50</v>
      </c>
      <c r="E692" s="3" t="s">
        <v>51</v>
      </c>
      <c r="F692" s="5">
        <v>103.85</v>
      </c>
      <c r="G692" s="3" t="s">
        <v>52</v>
      </c>
      <c r="H692" s="3" t="s">
        <v>14</v>
      </c>
      <c r="I692" s="8">
        <f t="shared" si="10"/>
        <v>45474</v>
      </c>
    </row>
    <row r="693" spans="1:9" x14ac:dyDescent="0.25">
      <c r="A693" s="7" t="s">
        <v>783</v>
      </c>
      <c r="B693" s="4">
        <v>45494</v>
      </c>
      <c r="C693" s="3" t="s">
        <v>10</v>
      </c>
      <c r="D693" s="3" t="s">
        <v>36</v>
      </c>
      <c r="E693" s="3" t="s">
        <v>145</v>
      </c>
      <c r="F693" s="5">
        <v>90.3</v>
      </c>
      <c r="G693" s="3" t="s">
        <v>19</v>
      </c>
      <c r="H693" s="3" t="s">
        <v>20</v>
      </c>
      <c r="I693" s="8">
        <f t="shared" si="10"/>
        <v>45474</v>
      </c>
    </row>
    <row r="694" spans="1:9" x14ac:dyDescent="0.25">
      <c r="A694" s="7" t="s">
        <v>784</v>
      </c>
      <c r="B694" s="4">
        <v>45495</v>
      </c>
      <c r="C694" s="3" t="s">
        <v>54</v>
      </c>
      <c r="D694" s="3" t="s">
        <v>30</v>
      </c>
      <c r="E694" s="3" t="s">
        <v>31</v>
      </c>
      <c r="F694" s="5">
        <v>80.97</v>
      </c>
      <c r="G694" s="3" t="s">
        <v>24</v>
      </c>
      <c r="H694" s="3" t="s">
        <v>14</v>
      </c>
      <c r="I694" s="8">
        <f t="shared" si="10"/>
        <v>45474</v>
      </c>
    </row>
    <row r="695" spans="1:9" x14ac:dyDescent="0.25">
      <c r="A695" s="7" t="s">
        <v>785</v>
      </c>
      <c r="B695" s="4">
        <v>45496</v>
      </c>
      <c r="C695" s="3" t="s">
        <v>10</v>
      </c>
      <c r="D695" s="3" t="s">
        <v>82</v>
      </c>
      <c r="E695" s="3" t="s">
        <v>83</v>
      </c>
      <c r="F695" s="5">
        <v>2962.43</v>
      </c>
      <c r="G695" s="3" t="s">
        <v>13</v>
      </c>
      <c r="H695" s="3" t="s">
        <v>14</v>
      </c>
      <c r="I695" s="8">
        <f t="shared" si="10"/>
        <v>45474</v>
      </c>
    </row>
    <row r="696" spans="1:9" x14ac:dyDescent="0.25">
      <c r="A696" s="7" t="s">
        <v>786</v>
      </c>
      <c r="B696" s="4">
        <v>45496</v>
      </c>
      <c r="C696" s="3" t="s">
        <v>10</v>
      </c>
      <c r="D696" s="3" t="s">
        <v>40</v>
      </c>
      <c r="E696" s="3" t="s">
        <v>105</v>
      </c>
      <c r="F696" s="5">
        <v>106.91</v>
      </c>
      <c r="G696" s="3" t="s">
        <v>27</v>
      </c>
      <c r="H696" s="3" t="s">
        <v>14</v>
      </c>
      <c r="I696" s="8">
        <f t="shared" si="10"/>
        <v>45474</v>
      </c>
    </row>
    <row r="697" spans="1:9" x14ac:dyDescent="0.25">
      <c r="A697" s="7" t="s">
        <v>787</v>
      </c>
      <c r="B697" s="4">
        <v>45496</v>
      </c>
      <c r="C697" s="3" t="s">
        <v>22</v>
      </c>
      <c r="D697" s="3" t="s">
        <v>114</v>
      </c>
      <c r="E697" s="3" t="s">
        <v>199</v>
      </c>
      <c r="F697" s="5">
        <v>180.36</v>
      </c>
      <c r="G697" s="3" t="s">
        <v>19</v>
      </c>
      <c r="H697" s="3" t="s">
        <v>14</v>
      </c>
      <c r="I697" s="8">
        <f t="shared" si="10"/>
        <v>45474</v>
      </c>
    </row>
    <row r="698" spans="1:9" x14ac:dyDescent="0.25">
      <c r="A698" s="7" t="s">
        <v>788</v>
      </c>
      <c r="B698" s="4">
        <v>45497</v>
      </c>
      <c r="C698" s="3" t="s">
        <v>10</v>
      </c>
      <c r="D698" s="3" t="s">
        <v>22</v>
      </c>
      <c r="E698" s="3" t="s">
        <v>26</v>
      </c>
      <c r="F698" s="5">
        <v>1454.55</v>
      </c>
      <c r="G698" s="3" t="s">
        <v>27</v>
      </c>
      <c r="H698" s="3" t="s">
        <v>14</v>
      </c>
      <c r="I698" s="8">
        <f t="shared" si="10"/>
        <v>45474</v>
      </c>
    </row>
    <row r="699" spans="1:9" x14ac:dyDescent="0.25">
      <c r="A699" s="7" t="s">
        <v>789</v>
      </c>
      <c r="B699" s="4">
        <v>45497</v>
      </c>
      <c r="C699" s="3" t="s">
        <v>29</v>
      </c>
      <c r="D699" s="3" t="s">
        <v>30</v>
      </c>
      <c r="E699" s="3" t="s">
        <v>65</v>
      </c>
      <c r="F699" s="5">
        <v>157.52000000000001</v>
      </c>
      <c r="G699" s="3" t="s">
        <v>24</v>
      </c>
      <c r="H699" s="3" t="s">
        <v>14</v>
      </c>
      <c r="I699" s="8">
        <f t="shared" si="10"/>
        <v>45474</v>
      </c>
    </row>
    <row r="700" spans="1:9" x14ac:dyDescent="0.25">
      <c r="A700" s="7" t="s">
        <v>790</v>
      </c>
      <c r="B700" s="4">
        <v>45498</v>
      </c>
      <c r="C700" s="3" t="s">
        <v>49</v>
      </c>
      <c r="D700" s="3" t="s">
        <v>36</v>
      </c>
      <c r="E700" s="3" t="s">
        <v>150</v>
      </c>
      <c r="F700" s="5">
        <v>16.43</v>
      </c>
      <c r="G700" s="3" t="s">
        <v>19</v>
      </c>
      <c r="H700" s="3" t="s">
        <v>20</v>
      </c>
      <c r="I700" s="8">
        <f t="shared" si="10"/>
        <v>45474</v>
      </c>
    </row>
    <row r="701" spans="1:9" x14ac:dyDescent="0.25">
      <c r="A701" s="7" t="s">
        <v>791</v>
      </c>
      <c r="B701" s="4">
        <v>45499</v>
      </c>
      <c r="C701" s="3" t="s">
        <v>49</v>
      </c>
      <c r="D701" s="3" t="s">
        <v>22</v>
      </c>
      <c r="E701" s="3" t="s">
        <v>175</v>
      </c>
      <c r="F701" s="5">
        <v>2158.7199999999998</v>
      </c>
      <c r="G701" s="3" t="s">
        <v>19</v>
      </c>
      <c r="H701" s="3" t="s">
        <v>14</v>
      </c>
      <c r="I701" s="8">
        <f t="shared" si="10"/>
        <v>45474</v>
      </c>
    </row>
    <row r="702" spans="1:9" x14ac:dyDescent="0.25">
      <c r="A702" s="7" t="s">
        <v>792</v>
      </c>
      <c r="B702" s="4">
        <v>45500</v>
      </c>
      <c r="C702" s="3" t="s">
        <v>39</v>
      </c>
      <c r="D702" s="3" t="s">
        <v>46</v>
      </c>
      <c r="E702" s="3" t="s">
        <v>234</v>
      </c>
      <c r="F702" s="5">
        <v>282.01</v>
      </c>
      <c r="G702" s="3" t="s">
        <v>86</v>
      </c>
      <c r="H702" s="3" t="s">
        <v>14</v>
      </c>
      <c r="I702" s="8">
        <f t="shared" si="10"/>
        <v>45474</v>
      </c>
    </row>
    <row r="703" spans="1:9" x14ac:dyDescent="0.25">
      <c r="A703" s="7" t="s">
        <v>793</v>
      </c>
      <c r="B703" s="4">
        <v>45500</v>
      </c>
      <c r="C703" s="3" t="s">
        <v>49</v>
      </c>
      <c r="D703" s="3" t="s">
        <v>22</v>
      </c>
      <c r="E703" s="3" t="s">
        <v>175</v>
      </c>
      <c r="F703" s="5">
        <v>649.85</v>
      </c>
      <c r="G703" s="3" t="s">
        <v>19</v>
      </c>
      <c r="H703" s="3" t="s">
        <v>14</v>
      </c>
      <c r="I703" s="8">
        <f t="shared" si="10"/>
        <v>45474</v>
      </c>
    </row>
    <row r="704" spans="1:9" x14ac:dyDescent="0.25">
      <c r="A704" s="7" t="s">
        <v>794</v>
      </c>
      <c r="B704" s="4">
        <v>45500</v>
      </c>
      <c r="C704" s="3" t="s">
        <v>29</v>
      </c>
      <c r="D704" s="3" t="s">
        <v>40</v>
      </c>
      <c r="E704" s="3" t="s">
        <v>41</v>
      </c>
      <c r="F704" s="5">
        <v>860.94</v>
      </c>
      <c r="G704" s="3" t="s">
        <v>19</v>
      </c>
      <c r="H704" s="3" t="s">
        <v>14</v>
      </c>
      <c r="I704" s="8">
        <f t="shared" si="10"/>
        <v>45474</v>
      </c>
    </row>
    <row r="705" spans="1:9" x14ac:dyDescent="0.25">
      <c r="A705" s="7" t="s">
        <v>795</v>
      </c>
      <c r="B705" s="4">
        <v>45501</v>
      </c>
      <c r="C705" s="3" t="s">
        <v>22</v>
      </c>
      <c r="D705" s="3" t="s">
        <v>36</v>
      </c>
      <c r="E705" s="3" t="s">
        <v>238</v>
      </c>
      <c r="F705" s="5">
        <v>39.89</v>
      </c>
      <c r="G705" s="3" t="s">
        <v>19</v>
      </c>
      <c r="H705" s="3" t="s">
        <v>14</v>
      </c>
      <c r="I705" s="8">
        <f t="shared" si="10"/>
        <v>45474</v>
      </c>
    </row>
    <row r="706" spans="1:9" x14ac:dyDescent="0.25">
      <c r="A706" s="7" t="s">
        <v>796</v>
      </c>
      <c r="B706" s="4">
        <v>45502</v>
      </c>
      <c r="C706" s="3" t="s">
        <v>29</v>
      </c>
      <c r="D706" s="3" t="s">
        <v>55</v>
      </c>
      <c r="E706" s="3" t="s">
        <v>400</v>
      </c>
      <c r="F706" s="5">
        <v>735.95</v>
      </c>
      <c r="G706" s="3" t="s">
        <v>27</v>
      </c>
      <c r="H706" s="3" t="s">
        <v>14</v>
      </c>
      <c r="I706" s="8">
        <f t="shared" si="10"/>
        <v>45474</v>
      </c>
    </row>
    <row r="707" spans="1:9" x14ac:dyDescent="0.25">
      <c r="A707" s="7" t="s">
        <v>797</v>
      </c>
      <c r="B707" s="4">
        <v>45502</v>
      </c>
      <c r="C707" s="3" t="s">
        <v>49</v>
      </c>
      <c r="D707" s="3" t="s">
        <v>22</v>
      </c>
      <c r="E707" s="3" t="s">
        <v>175</v>
      </c>
      <c r="F707" s="5">
        <v>1993.99</v>
      </c>
      <c r="G707" s="3" t="s">
        <v>27</v>
      </c>
      <c r="H707" s="3" t="s">
        <v>20</v>
      </c>
      <c r="I707" s="8">
        <f t="shared" si="10"/>
        <v>45474</v>
      </c>
    </row>
    <row r="708" spans="1:9" x14ac:dyDescent="0.25">
      <c r="A708" s="7" t="s">
        <v>798</v>
      </c>
      <c r="B708" s="4">
        <v>45503</v>
      </c>
      <c r="C708" s="3" t="s">
        <v>54</v>
      </c>
      <c r="D708" s="3" t="s">
        <v>40</v>
      </c>
      <c r="E708" s="3" t="s">
        <v>138</v>
      </c>
      <c r="F708" s="5">
        <v>196.03</v>
      </c>
      <c r="G708" s="3" t="s">
        <v>27</v>
      </c>
      <c r="H708" s="3" t="s">
        <v>14</v>
      </c>
      <c r="I708" s="8">
        <f t="shared" si="10"/>
        <v>45474</v>
      </c>
    </row>
    <row r="709" spans="1:9" x14ac:dyDescent="0.25">
      <c r="A709" s="7" t="s">
        <v>799</v>
      </c>
      <c r="B709" s="4">
        <v>45503</v>
      </c>
      <c r="C709" s="3" t="s">
        <v>16</v>
      </c>
      <c r="D709" s="3" t="s">
        <v>114</v>
      </c>
      <c r="E709" s="3" t="s">
        <v>117</v>
      </c>
      <c r="F709" s="5">
        <v>604.79</v>
      </c>
      <c r="G709" s="3" t="s">
        <v>19</v>
      </c>
      <c r="H709" s="3" t="s">
        <v>14</v>
      </c>
      <c r="I709" s="8">
        <f t="shared" ref="I709:I772" si="11">DATE(YEAR(B709),MONTH(B709),1)</f>
        <v>45474</v>
      </c>
    </row>
    <row r="710" spans="1:9" x14ac:dyDescent="0.25">
      <c r="A710" s="7" t="s">
        <v>800</v>
      </c>
      <c r="B710" s="4">
        <v>45503</v>
      </c>
      <c r="C710" s="3" t="s">
        <v>10</v>
      </c>
      <c r="D710" s="3" t="s">
        <v>114</v>
      </c>
      <c r="E710" s="3" t="s">
        <v>157</v>
      </c>
      <c r="F710" s="5">
        <v>81.2</v>
      </c>
      <c r="G710" s="3" t="s">
        <v>19</v>
      </c>
      <c r="H710" s="3" t="s">
        <v>14</v>
      </c>
      <c r="I710" s="8">
        <f t="shared" si="11"/>
        <v>45474</v>
      </c>
    </row>
    <row r="711" spans="1:9" x14ac:dyDescent="0.25">
      <c r="A711" s="7" t="s">
        <v>801</v>
      </c>
      <c r="B711" s="4">
        <v>45503</v>
      </c>
      <c r="C711" s="3" t="s">
        <v>29</v>
      </c>
      <c r="D711" s="3" t="s">
        <v>36</v>
      </c>
      <c r="E711" s="3" t="s">
        <v>37</v>
      </c>
      <c r="F711" s="5">
        <v>138.02000000000001</v>
      </c>
      <c r="G711" s="3" t="s">
        <v>19</v>
      </c>
      <c r="H711" s="3" t="s">
        <v>14</v>
      </c>
      <c r="I711" s="8">
        <f t="shared" si="11"/>
        <v>45474</v>
      </c>
    </row>
    <row r="712" spans="1:9" x14ac:dyDescent="0.25">
      <c r="A712" s="7" t="s">
        <v>802</v>
      </c>
      <c r="B712" s="4">
        <v>45503</v>
      </c>
      <c r="C712" s="3" t="s">
        <v>22</v>
      </c>
      <c r="D712" s="3" t="s">
        <v>30</v>
      </c>
      <c r="E712" s="3" t="s">
        <v>65</v>
      </c>
      <c r="F712" s="5">
        <v>243.02</v>
      </c>
      <c r="G712" s="3" t="s">
        <v>19</v>
      </c>
      <c r="H712" s="3" t="s">
        <v>14</v>
      </c>
      <c r="I712" s="8">
        <f t="shared" si="11"/>
        <v>45474</v>
      </c>
    </row>
    <row r="713" spans="1:9" x14ac:dyDescent="0.25">
      <c r="A713" s="7" t="s">
        <v>803</v>
      </c>
      <c r="B713" s="4">
        <v>45504</v>
      </c>
      <c r="C713" s="3" t="s">
        <v>16</v>
      </c>
      <c r="D713" s="3" t="s">
        <v>40</v>
      </c>
      <c r="E713" s="3" t="s">
        <v>138</v>
      </c>
      <c r="F713" s="5">
        <v>798.6</v>
      </c>
      <c r="G713" s="3" t="s">
        <v>27</v>
      </c>
      <c r="H713" s="3" t="s">
        <v>14</v>
      </c>
      <c r="I713" s="8">
        <f t="shared" si="11"/>
        <v>45474</v>
      </c>
    </row>
    <row r="714" spans="1:9" x14ac:dyDescent="0.25">
      <c r="A714" s="7" t="s">
        <v>804</v>
      </c>
      <c r="B714" s="4">
        <v>45504</v>
      </c>
      <c r="C714" s="3" t="s">
        <v>33</v>
      </c>
      <c r="D714" s="3" t="s">
        <v>17</v>
      </c>
      <c r="E714" s="3" t="s">
        <v>68</v>
      </c>
      <c r="F714" s="5">
        <v>715.56</v>
      </c>
      <c r="G714" s="3" t="s">
        <v>19</v>
      </c>
      <c r="H714" s="3" t="s">
        <v>14</v>
      </c>
      <c r="I714" s="8">
        <f t="shared" si="11"/>
        <v>45474</v>
      </c>
    </row>
    <row r="715" spans="1:9" x14ac:dyDescent="0.25">
      <c r="A715" s="7" t="s">
        <v>805</v>
      </c>
      <c r="B715" s="4">
        <v>45504</v>
      </c>
      <c r="C715" s="3" t="s">
        <v>22</v>
      </c>
      <c r="D715" s="3" t="s">
        <v>46</v>
      </c>
      <c r="E715" s="3" t="s">
        <v>47</v>
      </c>
      <c r="F715" s="5">
        <v>557.64</v>
      </c>
      <c r="G715" s="3" t="s">
        <v>86</v>
      </c>
      <c r="H715" s="3" t="s">
        <v>14</v>
      </c>
      <c r="I715" s="8">
        <f t="shared" si="11"/>
        <v>45474</v>
      </c>
    </row>
    <row r="716" spans="1:9" x14ac:dyDescent="0.25">
      <c r="A716" s="7" t="s">
        <v>806</v>
      </c>
      <c r="B716" s="4">
        <v>45505</v>
      </c>
      <c r="C716" s="3" t="s">
        <v>10</v>
      </c>
      <c r="D716" s="3" t="s">
        <v>11</v>
      </c>
      <c r="E716" s="3" t="s">
        <v>12</v>
      </c>
      <c r="F716" s="5">
        <v>15000</v>
      </c>
      <c r="G716" s="3" t="s">
        <v>13</v>
      </c>
      <c r="H716" s="3" t="s">
        <v>14</v>
      </c>
      <c r="I716" s="8">
        <f t="shared" si="11"/>
        <v>45505</v>
      </c>
    </row>
    <row r="717" spans="1:9" x14ac:dyDescent="0.25">
      <c r="A717" s="7" t="s">
        <v>807</v>
      </c>
      <c r="B717" s="4">
        <v>45505</v>
      </c>
      <c r="C717" s="3" t="s">
        <v>22</v>
      </c>
      <c r="D717" s="3" t="s">
        <v>36</v>
      </c>
      <c r="E717" s="3" t="s">
        <v>37</v>
      </c>
      <c r="F717" s="5">
        <v>202.37</v>
      </c>
      <c r="G717" s="3" t="s">
        <v>27</v>
      </c>
      <c r="H717" s="3" t="s">
        <v>14</v>
      </c>
      <c r="I717" s="8">
        <f t="shared" si="11"/>
        <v>45505</v>
      </c>
    </row>
    <row r="718" spans="1:9" x14ac:dyDescent="0.25">
      <c r="A718" s="7" t="s">
        <v>808</v>
      </c>
      <c r="B718" s="4">
        <v>45506</v>
      </c>
      <c r="C718" s="3" t="s">
        <v>49</v>
      </c>
      <c r="D718" s="3" t="s">
        <v>46</v>
      </c>
      <c r="E718" s="3" t="s">
        <v>234</v>
      </c>
      <c r="F718" s="5">
        <v>292.62</v>
      </c>
      <c r="G718" s="3" t="s">
        <v>86</v>
      </c>
      <c r="H718" s="3" t="s">
        <v>14</v>
      </c>
      <c r="I718" s="8">
        <f t="shared" si="11"/>
        <v>45505</v>
      </c>
    </row>
    <row r="719" spans="1:9" x14ac:dyDescent="0.25">
      <c r="A719" s="7" t="s">
        <v>809</v>
      </c>
      <c r="B719" s="4">
        <v>45506</v>
      </c>
      <c r="C719" s="3" t="s">
        <v>39</v>
      </c>
      <c r="D719" s="3" t="s">
        <v>17</v>
      </c>
      <c r="E719" s="3" t="s">
        <v>197</v>
      </c>
      <c r="F719" s="5">
        <v>1333.48</v>
      </c>
      <c r="G719" s="3" t="s">
        <v>24</v>
      </c>
      <c r="H719" s="3" t="s">
        <v>14</v>
      </c>
      <c r="I719" s="8">
        <f t="shared" si="11"/>
        <v>45505</v>
      </c>
    </row>
    <row r="720" spans="1:9" x14ac:dyDescent="0.25">
      <c r="A720" s="7" t="s">
        <v>810</v>
      </c>
      <c r="B720" s="4">
        <v>45507</v>
      </c>
      <c r="C720" s="3" t="s">
        <v>49</v>
      </c>
      <c r="D720" s="3" t="s">
        <v>22</v>
      </c>
      <c r="E720" s="3" t="s">
        <v>175</v>
      </c>
      <c r="F720" s="5">
        <v>2261.5300000000002</v>
      </c>
      <c r="G720" s="3" t="s">
        <v>19</v>
      </c>
      <c r="H720" s="3" t="s">
        <v>14</v>
      </c>
      <c r="I720" s="8">
        <f t="shared" si="11"/>
        <v>45505</v>
      </c>
    </row>
    <row r="721" spans="1:9" x14ac:dyDescent="0.25">
      <c r="A721" s="7" t="s">
        <v>811</v>
      </c>
      <c r="B721" s="4">
        <v>45507</v>
      </c>
      <c r="C721" s="3" t="s">
        <v>33</v>
      </c>
      <c r="D721" s="3" t="s">
        <v>50</v>
      </c>
      <c r="E721" s="3" t="s">
        <v>166</v>
      </c>
      <c r="F721" s="5">
        <v>86.04</v>
      </c>
      <c r="G721" s="3" t="s">
        <v>52</v>
      </c>
      <c r="H721" s="3" t="s">
        <v>14</v>
      </c>
      <c r="I721" s="8">
        <f t="shared" si="11"/>
        <v>45505</v>
      </c>
    </row>
    <row r="722" spans="1:9" x14ac:dyDescent="0.25">
      <c r="A722" s="7" t="s">
        <v>812</v>
      </c>
      <c r="B722" s="4">
        <v>45508</v>
      </c>
      <c r="C722" s="3" t="s">
        <v>54</v>
      </c>
      <c r="D722" s="3" t="s">
        <v>30</v>
      </c>
      <c r="E722" s="3" t="s">
        <v>34</v>
      </c>
      <c r="F722" s="5">
        <v>254.3</v>
      </c>
      <c r="G722" s="3" t="s">
        <v>24</v>
      </c>
      <c r="H722" s="3" t="s">
        <v>20</v>
      </c>
      <c r="I722" s="8">
        <f t="shared" si="11"/>
        <v>45505</v>
      </c>
    </row>
    <row r="723" spans="1:9" x14ac:dyDescent="0.25">
      <c r="A723" s="7" t="s">
        <v>813</v>
      </c>
      <c r="B723" s="4">
        <v>45508</v>
      </c>
      <c r="C723" s="3" t="s">
        <v>39</v>
      </c>
      <c r="D723" s="3" t="s">
        <v>22</v>
      </c>
      <c r="E723" s="3" t="s">
        <v>75</v>
      </c>
      <c r="F723" s="5">
        <v>497.93</v>
      </c>
      <c r="G723" s="3" t="s">
        <v>19</v>
      </c>
      <c r="H723" s="3" t="s">
        <v>20</v>
      </c>
      <c r="I723" s="8">
        <f t="shared" si="11"/>
        <v>45505</v>
      </c>
    </row>
    <row r="724" spans="1:9" x14ac:dyDescent="0.25">
      <c r="A724" s="7" t="s">
        <v>814</v>
      </c>
      <c r="B724" s="4">
        <v>45508</v>
      </c>
      <c r="C724" s="3" t="s">
        <v>49</v>
      </c>
      <c r="D724" s="3" t="s">
        <v>114</v>
      </c>
      <c r="E724" s="3" t="s">
        <v>199</v>
      </c>
      <c r="F724" s="5">
        <v>1047.32</v>
      </c>
      <c r="G724" s="3" t="s">
        <v>19</v>
      </c>
      <c r="H724" s="3" t="s">
        <v>14</v>
      </c>
      <c r="I724" s="8">
        <f t="shared" si="11"/>
        <v>45505</v>
      </c>
    </row>
    <row r="725" spans="1:9" x14ac:dyDescent="0.25">
      <c r="A725" s="7" t="s">
        <v>815</v>
      </c>
      <c r="B725" s="4">
        <v>45509</v>
      </c>
      <c r="C725" s="3" t="s">
        <v>49</v>
      </c>
      <c r="D725" s="3" t="s">
        <v>22</v>
      </c>
      <c r="E725" s="3" t="s">
        <v>97</v>
      </c>
      <c r="F725" s="5">
        <v>1326.88</v>
      </c>
      <c r="G725" s="3" t="s">
        <v>19</v>
      </c>
      <c r="H725" s="3" t="s">
        <v>14</v>
      </c>
      <c r="I725" s="8">
        <f t="shared" si="11"/>
        <v>45505</v>
      </c>
    </row>
    <row r="726" spans="1:9" x14ac:dyDescent="0.25">
      <c r="A726" s="7" t="s">
        <v>816</v>
      </c>
      <c r="B726" s="4">
        <v>45509</v>
      </c>
      <c r="C726" s="3" t="s">
        <v>10</v>
      </c>
      <c r="D726" s="3" t="s">
        <v>40</v>
      </c>
      <c r="E726" s="3" t="s">
        <v>105</v>
      </c>
      <c r="F726" s="5">
        <v>875.85</v>
      </c>
      <c r="G726" s="3" t="s">
        <v>27</v>
      </c>
      <c r="H726" s="3" t="s">
        <v>20</v>
      </c>
      <c r="I726" s="8">
        <f t="shared" si="11"/>
        <v>45505</v>
      </c>
    </row>
    <row r="727" spans="1:9" x14ac:dyDescent="0.25">
      <c r="A727" s="7" t="s">
        <v>817</v>
      </c>
      <c r="B727" s="4">
        <v>45509</v>
      </c>
      <c r="C727" s="3" t="s">
        <v>49</v>
      </c>
      <c r="D727" s="3" t="s">
        <v>30</v>
      </c>
      <c r="E727" s="3" t="s">
        <v>185</v>
      </c>
      <c r="F727" s="5">
        <v>83.7</v>
      </c>
      <c r="G727" s="3" t="s">
        <v>19</v>
      </c>
      <c r="H727" s="3" t="s">
        <v>14</v>
      </c>
      <c r="I727" s="8">
        <f t="shared" si="11"/>
        <v>45505</v>
      </c>
    </row>
    <row r="728" spans="1:9" x14ac:dyDescent="0.25">
      <c r="A728" s="7" t="s">
        <v>818</v>
      </c>
      <c r="B728" s="4">
        <v>45510</v>
      </c>
      <c r="C728" s="3" t="s">
        <v>16</v>
      </c>
      <c r="D728" s="3" t="s">
        <v>55</v>
      </c>
      <c r="E728" s="3" t="s">
        <v>56</v>
      </c>
      <c r="F728" s="5">
        <v>265.06</v>
      </c>
      <c r="G728" s="3" t="s">
        <v>19</v>
      </c>
      <c r="H728" s="3" t="s">
        <v>14</v>
      </c>
      <c r="I728" s="8">
        <f t="shared" si="11"/>
        <v>45505</v>
      </c>
    </row>
    <row r="729" spans="1:9" x14ac:dyDescent="0.25">
      <c r="A729" s="7" t="s">
        <v>819</v>
      </c>
      <c r="B729" s="4">
        <v>45510</v>
      </c>
      <c r="C729" s="3" t="s">
        <v>29</v>
      </c>
      <c r="D729" s="3" t="s">
        <v>17</v>
      </c>
      <c r="E729" s="3" t="s">
        <v>171</v>
      </c>
      <c r="F729" s="5">
        <v>737.85</v>
      </c>
      <c r="G729" s="3" t="s">
        <v>24</v>
      </c>
      <c r="H729" s="3" t="s">
        <v>20</v>
      </c>
      <c r="I729" s="8">
        <f t="shared" si="11"/>
        <v>45505</v>
      </c>
    </row>
    <row r="730" spans="1:9" x14ac:dyDescent="0.25">
      <c r="A730" s="7" t="s">
        <v>820</v>
      </c>
      <c r="B730" s="4">
        <v>45510</v>
      </c>
      <c r="C730" s="3" t="s">
        <v>29</v>
      </c>
      <c r="D730" s="3" t="s">
        <v>22</v>
      </c>
      <c r="E730" s="3" t="s">
        <v>244</v>
      </c>
      <c r="F730" s="5">
        <v>1031.24</v>
      </c>
      <c r="G730" s="3" t="s">
        <v>19</v>
      </c>
      <c r="H730" s="3" t="s">
        <v>20</v>
      </c>
      <c r="I730" s="8">
        <f t="shared" si="11"/>
        <v>45505</v>
      </c>
    </row>
    <row r="731" spans="1:9" x14ac:dyDescent="0.25">
      <c r="A731" s="7" t="s">
        <v>821</v>
      </c>
      <c r="B731" s="4">
        <v>45510</v>
      </c>
      <c r="C731" s="3" t="s">
        <v>49</v>
      </c>
      <c r="D731" s="3" t="s">
        <v>40</v>
      </c>
      <c r="E731" s="3" t="s">
        <v>105</v>
      </c>
      <c r="F731" s="5">
        <v>103.11</v>
      </c>
      <c r="G731" s="3" t="s">
        <v>19</v>
      </c>
      <c r="H731" s="3" t="s">
        <v>14</v>
      </c>
      <c r="I731" s="8">
        <f t="shared" si="11"/>
        <v>45505</v>
      </c>
    </row>
    <row r="732" spans="1:9" x14ac:dyDescent="0.25">
      <c r="A732" s="7" t="s">
        <v>822</v>
      </c>
      <c r="B732" s="4">
        <v>45511</v>
      </c>
      <c r="C732" s="3" t="s">
        <v>22</v>
      </c>
      <c r="D732" s="3" t="s">
        <v>36</v>
      </c>
      <c r="E732" s="3" t="s">
        <v>145</v>
      </c>
      <c r="F732" s="5">
        <v>13.73</v>
      </c>
      <c r="G732" s="3" t="s">
        <v>19</v>
      </c>
      <c r="H732" s="3" t="s">
        <v>14</v>
      </c>
      <c r="I732" s="8">
        <f t="shared" si="11"/>
        <v>45505</v>
      </c>
    </row>
    <row r="733" spans="1:9" x14ac:dyDescent="0.25">
      <c r="A733" s="7" t="s">
        <v>823</v>
      </c>
      <c r="B733" s="4">
        <v>45511</v>
      </c>
      <c r="C733" s="3" t="s">
        <v>22</v>
      </c>
      <c r="D733" s="3" t="s">
        <v>30</v>
      </c>
      <c r="E733" s="3" t="s">
        <v>34</v>
      </c>
      <c r="F733" s="5">
        <v>144.56</v>
      </c>
      <c r="G733" s="3" t="s">
        <v>52</v>
      </c>
      <c r="H733" s="3" t="s">
        <v>14</v>
      </c>
      <c r="I733" s="8">
        <f t="shared" si="11"/>
        <v>45505</v>
      </c>
    </row>
    <row r="734" spans="1:9" x14ac:dyDescent="0.25">
      <c r="A734" s="7" t="s">
        <v>824</v>
      </c>
      <c r="B734" s="4">
        <v>45511</v>
      </c>
      <c r="C734" s="3" t="s">
        <v>22</v>
      </c>
      <c r="D734" s="3" t="s">
        <v>50</v>
      </c>
      <c r="E734" s="3" t="s">
        <v>70</v>
      </c>
      <c r="F734" s="5">
        <v>109.6</v>
      </c>
      <c r="G734" s="3" t="s">
        <v>24</v>
      </c>
      <c r="H734" s="3" t="s">
        <v>20</v>
      </c>
      <c r="I734" s="8">
        <f t="shared" si="11"/>
        <v>45505</v>
      </c>
    </row>
    <row r="735" spans="1:9" x14ac:dyDescent="0.25">
      <c r="A735" s="7" t="s">
        <v>825</v>
      </c>
      <c r="B735" s="4">
        <v>45511</v>
      </c>
      <c r="C735" s="3" t="s">
        <v>33</v>
      </c>
      <c r="D735" s="3" t="s">
        <v>50</v>
      </c>
      <c r="E735" s="3" t="s">
        <v>70</v>
      </c>
      <c r="F735" s="5">
        <v>133.41999999999999</v>
      </c>
      <c r="G735" s="3" t="s">
        <v>52</v>
      </c>
      <c r="H735" s="3" t="s">
        <v>14</v>
      </c>
      <c r="I735" s="8">
        <f t="shared" si="11"/>
        <v>45505</v>
      </c>
    </row>
    <row r="736" spans="1:9" x14ac:dyDescent="0.25">
      <c r="A736" s="7" t="s">
        <v>826</v>
      </c>
      <c r="B736" s="4">
        <v>45511</v>
      </c>
      <c r="C736" s="3" t="s">
        <v>10</v>
      </c>
      <c r="D736" s="3" t="s">
        <v>17</v>
      </c>
      <c r="E736" s="3" t="s">
        <v>136</v>
      </c>
      <c r="F736" s="5">
        <v>636.48</v>
      </c>
      <c r="G736" s="3" t="s">
        <v>19</v>
      </c>
      <c r="H736" s="3" t="s">
        <v>14</v>
      </c>
      <c r="I736" s="8">
        <f t="shared" si="11"/>
        <v>45505</v>
      </c>
    </row>
    <row r="737" spans="1:9" x14ac:dyDescent="0.25">
      <c r="A737" s="7" t="s">
        <v>827</v>
      </c>
      <c r="B737" s="4">
        <v>45512</v>
      </c>
      <c r="C737" s="3" t="s">
        <v>39</v>
      </c>
      <c r="D737" s="3" t="s">
        <v>55</v>
      </c>
      <c r="E737" s="3" t="s">
        <v>400</v>
      </c>
      <c r="F737" s="5">
        <v>1715.73</v>
      </c>
      <c r="G737" s="3" t="s">
        <v>19</v>
      </c>
      <c r="H737" s="3" t="s">
        <v>20</v>
      </c>
      <c r="I737" s="8">
        <f t="shared" si="11"/>
        <v>45505</v>
      </c>
    </row>
    <row r="738" spans="1:9" x14ac:dyDescent="0.25">
      <c r="A738" s="7" t="s">
        <v>828</v>
      </c>
      <c r="B738" s="4">
        <v>45512</v>
      </c>
      <c r="C738" s="3" t="s">
        <v>29</v>
      </c>
      <c r="D738" s="3" t="s">
        <v>43</v>
      </c>
      <c r="E738" s="3" t="s">
        <v>78</v>
      </c>
      <c r="F738" s="5">
        <v>123.24</v>
      </c>
      <c r="G738" s="3" t="s">
        <v>13</v>
      </c>
      <c r="H738" s="3" t="s">
        <v>14</v>
      </c>
      <c r="I738" s="8">
        <f t="shared" si="11"/>
        <v>45505</v>
      </c>
    </row>
    <row r="739" spans="1:9" x14ac:dyDescent="0.25">
      <c r="A739" s="7" t="s">
        <v>829</v>
      </c>
      <c r="B739" s="4">
        <v>45512</v>
      </c>
      <c r="C739" s="3" t="s">
        <v>29</v>
      </c>
      <c r="D739" s="3" t="s">
        <v>30</v>
      </c>
      <c r="E739" s="3" t="s">
        <v>60</v>
      </c>
      <c r="F739" s="5">
        <v>209.24</v>
      </c>
      <c r="G739" s="3" t="s">
        <v>19</v>
      </c>
      <c r="H739" s="3" t="s">
        <v>14</v>
      </c>
      <c r="I739" s="8">
        <f t="shared" si="11"/>
        <v>45505</v>
      </c>
    </row>
    <row r="740" spans="1:9" x14ac:dyDescent="0.25">
      <c r="A740" s="7" t="s">
        <v>830</v>
      </c>
      <c r="B740" s="4">
        <v>45512</v>
      </c>
      <c r="C740" s="3" t="s">
        <v>33</v>
      </c>
      <c r="D740" s="3" t="s">
        <v>50</v>
      </c>
      <c r="E740" s="3" t="s">
        <v>62</v>
      </c>
      <c r="F740" s="5">
        <v>83.36</v>
      </c>
      <c r="G740" s="3" t="s">
        <v>24</v>
      </c>
      <c r="H740" s="3" t="s">
        <v>14</v>
      </c>
      <c r="I740" s="8">
        <f t="shared" si="11"/>
        <v>45505</v>
      </c>
    </row>
    <row r="741" spans="1:9" x14ac:dyDescent="0.25">
      <c r="A741" s="7" t="s">
        <v>831</v>
      </c>
      <c r="B741" s="4">
        <v>45514</v>
      </c>
      <c r="C741" s="3" t="s">
        <v>39</v>
      </c>
      <c r="D741" s="3" t="s">
        <v>17</v>
      </c>
      <c r="E741" s="3" t="s">
        <v>18</v>
      </c>
      <c r="F741" s="5">
        <v>1436.38</v>
      </c>
      <c r="G741" s="3" t="s">
        <v>24</v>
      </c>
      <c r="H741" s="3" t="s">
        <v>14</v>
      </c>
      <c r="I741" s="8">
        <f t="shared" si="11"/>
        <v>45505</v>
      </c>
    </row>
    <row r="742" spans="1:9" x14ac:dyDescent="0.25">
      <c r="A742" s="7" t="s">
        <v>832</v>
      </c>
      <c r="B742" s="4">
        <v>45514</v>
      </c>
      <c r="C742" s="3" t="s">
        <v>39</v>
      </c>
      <c r="D742" s="3" t="s">
        <v>55</v>
      </c>
      <c r="E742" s="3" t="s">
        <v>400</v>
      </c>
      <c r="F742" s="5">
        <v>464.71</v>
      </c>
      <c r="G742" s="3" t="s">
        <v>27</v>
      </c>
      <c r="H742" s="3" t="s">
        <v>20</v>
      </c>
      <c r="I742" s="8">
        <f t="shared" si="11"/>
        <v>45505</v>
      </c>
    </row>
    <row r="743" spans="1:9" x14ac:dyDescent="0.25">
      <c r="A743" s="7" t="s">
        <v>833</v>
      </c>
      <c r="B743" s="4">
        <v>45514</v>
      </c>
      <c r="C743" s="3" t="s">
        <v>39</v>
      </c>
      <c r="D743" s="3" t="s">
        <v>55</v>
      </c>
      <c r="E743" s="3" t="s">
        <v>56</v>
      </c>
      <c r="F743" s="5">
        <v>1483.37</v>
      </c>
      <c r="G743" s="3" t="s">
        <v>19</v>
      </c>
      <c r="H743" s="3" t="s">
        <v>14</v>
      </c>
      <c r="I743" s="8">
        <f t="shared" si="11"/>
        <v>45505</v>
      </c>
    </row>
    <row r="744" spans="1:9" x14ac:dyDescent="0.25">
      <c r="A744" s="7" t="s">
        <v>834</v>
      </c>
      <c r="B744" s="4">
        <v>45514</v>
      </c>
      <c r="C744" s="3" t="s">
        <v>54</v>
      </c>
      <c r="D744" s="3" t="s">
        <v>22</v>
      </c>
      <c r="E744" s="3" t="s">
        <v>26</v>
      </c>
      <c r="F744" s="5">
        <v>1366.13</v>
      </c>
      <c r="G744" s="3" t="s">
        <v>19</v>
      </c>
      <c r="H744" s="3" t="s">
        <v>14</v>
      </c>
      <c r="I744" s="8">
        <f t="shared" si="11"/>
        <v>45505</v>
      </c>
    </row>
    <row r="745" spans="1:9" x14ac:dyDescent="0.25">
      <c r="A745" s="7" t="s">
        <v>835</v>
      </c>
      <c r="B745" s="4">
        <v>45514</v>
      </c>
      <c r="C745" s="3" t="s">
        <v>16</v>
      </c>
      <c r="D745" s="3" t="s">
        <v>40</v>
      </c>
      <c r="E745" s="3" t="s">
        <v>41</v>
      </c>
      <c r="F745" s="5">
        <v>271.32</v>
      </c>
      <c r="G745" s="3" t="s">
        <v>19</v>
      </c>
      <c r="H745" s="3" t="s">
        <v>20</v>
      </c>
      <c r="I745" s="8">
        <f t="shared" si="11"/>
        <v>45505</v>
      </c>
    </row>
    <row r="746" spans="1:9" x14ac:dyDescent="0.25">
      <c r="A746" s="7" t="s">
        <v>836</v>
      </c>
      <c r="B746" s="4">
        <v>45515</v>
      </c>
      <c r="C746" s="3" t="s">
        <v>54</v>
      </c>
      <c r="D746" s="3" t="s">
        <v>55</v>
      </c>
      <c r="E746" s="3" t="s">
        <v>56</v>
      </c>
      <c r="F746" s="5">
        <v>1148.54</v>
      </c>
      <c r="G746" s="3" t="s">
        <v>19</v>
      </c>
      <c r="H746" s="3" t="s">
        <v>14</v>
      </c>
      <c r="I746" s="8">
        <f t="shared" si="11"/>
        <v>45505</v>
      </c>
    </row>
    <row r="747" spans="1:9" x14ac:dyDescent="0.25">
      <c r="A747" s="7" t="s">
        <v>837</v>
      </c>
      <c r="B747" s="4">
        <v>45515</v>
      </c>
      <c r="C747" s="3" t="s">
        <v>16</v>
      </c>
      <c r="D747" s="3" t="s">
        <v>46</v>
      </c>
      <c r="E747" s="3" t="s">
        <v>234</v>
      </c>
      <c r="F747" s="5">
        <v>448.74</v>
      </c>
      <c r="G747" s="3" t="s">
        <v>13</v>
      </c>
      <c r="H747" s="3" t="s">
        <v>14</v>
      </c>
      <c r="I747" s="8">
        <f t="shared" si="11"/>
        <v>45505</v>
      </c>
    </row>
    <row r="748" spans="1:9" x14ac:dyDescent="0.25">
      <c r="A748" s="7" t="s">
        <v>838</v>
      </c>
      <c r="B748" s="4">
        <v>45515</v>
      </c>
      <c r="C748" s="3" t="s">
        <v>29</v>
      </c>
      <c r="D748" s="3" t="s">
        <v>50</v>
      </c>
      <c r="E748" s="3" t="s">
        <v>70</v>
      </c>
      <c r="F748" s="5">
        <v>145.83000000000001</v>
      </c>
      <c r="G748" s="3" t="s">
        <v>52</v>
      </c>
      <c r="H748" s="3" t="s">
        <v>14</v>
      </c>
      <c r="I748" s="8">
        <f t="shared" si="11"/>
        <v>45505</v>
      </c>
    </row>
    <row r="749" spans="1:9" x14ac:dyDescent="0.25">
      <c r="A749" s="7" t="s">
        <v>839</v>
      </c>
      <c r="B749" s="4">
        <v>45515</v>
      </c>
      <c r="C749" s="3" t="s">
        <v>49</v>
      </c>
      <c r="D749" s="3" t="s">
        <v>30</v>
      </c>
      <c r="E749" s="3" t="s">
        <v>214</v>
      </c>
      <c r="F749" s="5">
        <v>215.02</v>
      </c>
      <c r="G749" s="3" t="s">
        <v>52</v>
      </c>
      <c r="H749" s="3" t="s">
        <v>14</v>
      </c>
      <c r="I749" s="8">
        <f t="shared" si="11"/>
        <v>45505</v>
      </c>
    </row>
    <row r="750" spans="1:9" x14ac:dyDescent="0.25">
      <c r="A750" s="7" t="s">
        <v>840</v>
      </c>
      <c r="B750" s="4">
        <v>45515</v>
      </c>
      <c r="C750" s="3" t="s">
        <v>39</v>
      </c>
      <c r="D750" s="3" t="s">
        <v>17</v>
      </c>
      <c r="E750" s="3" t="s">
        <v>197</v>
      </c>
      <c r="F750" s="5">
        <v>897.84</v>
      </c>
      <c r="G750" s="3" t="s">
        <v>24</v>
      </c>
      <c r="H750" s="3" t="s">
        <v>14</v>
      </c>
      <c r="I750" s="8">
        <f t="shared" si="11"/>
        <v>45505</v>
      </c>
    </row>
    <row r="751" spans="1:9" x14ac:dyDescent="0.25">
      <c r="A751" s="7" t="s">
        <v>841</v>
      </c>
      <c r="B751" s="4">
        <v>45515</v>
      </c>
      <c r="C751" s="3" t="s">
        <v>10</v>
      </c>
      <c r="D751" s="3" t="s">
        <v>17</v>
      </c>
      <c r="E751" s="3" t="s">
        <v>197</v>
      </c>
      <c r="F751" s="5">
        <v>896.77</v>
      </c>
      <c r="G751" s="3" t="s">
        <v>24</v>
      </c>
      <c r="H751" s="3" t="s">
        <v>14</v>
      </c>
      <c r="I751" s="8">
        <f t="shared" si="11"/>
        <v>45505</v>
      </c>
    </row>
    <row r="752" spans="1:9" x14ac:dyDescent="0.25">
      <c r="A752" s="7" t="s">
        <v>842</v>
      </c>
      <c r="B752" s="4">
        <v>45515</v>
      </c>
      <c r="C752" s="3" t="s">
        <v>49</v>
      </c>
      <c r="D752" s="3" t="s">
        <v>114</v>
      </c>
      <c r="E752" s="3" t="s">
        <v>199</v>
      </c>
      <c r="F752" s="5">
        <v>1009.49</v>
      </c>
      <c r="G752" s="3" t="s">
        <v>24</v>
      </c>
      <c r="H752" s="3" t="s">
        <v>14</v>
      </c>
      <c r="I752" s="8">
        <f t="shared" si="11"/>
        <v>45505</v>
      </c>
    </row>
    <row r="753" spans="1:9" x14ac:dyDescent="0.25">
      <c r="A753" s="7" t="s">
        <v>843</v>
      </c>
      <c r="B753" s="4">
        <v>45516</v>
      </c>
      <c r="C753" s="3" t="s">
        <v>54</v>
      </c>
      <c r="D753" s="3" t="s">
        <v>30</v>
      </c>
      <c r="E753" s="3" t="s">
        <v>34</v>
      </c>
      <c r="F753" s="5">
        <v>322.66000000000003</v>
      </c>
      <c r="G753" s="3" t="s">
        <v>24</v>
      </c>
      <c r="H753" s="3" t="s">
        <v>14</v>
      </c>
      <c r="I753" s="8">
        <f t="shared" si="11"/>
        <v>45505</v>
      </c>
    </row>
    <row r="754" spans="1:9" x14ac:dyDescent="0.25">
      <c r="A754" s="7" t="s">
        <v>844</v>
      </c>
      <c r="B754" s="4">
        <v>45516</v>
      </c>
      <c r="C754" s="3" t="s">
        <v>33</v>
      </c>
      <c r="D754" s="3" t="s">
        <v>114</v>
      </c>
      <c r="E754" s="3" t="s">
        <v>115</v>
      </c>
      <c r="F754" s="5">
        <v>72.77</v>
      </c>
      <c r="G754" s="3" t="s">
        <v>19</v>
      </c>
      <c r="H754" s="3" t="s">
        <v>14</v>
      </c>
      <c r="I754" s="8">
        <f t="shared" si="11"/>
        <v>45505</v>
      </c>
    </row>
    <row r="755" spans="1:9" x14ac:dyDescent="0.25">
      <c r="A755" s="7" t="s">
        <v>845</v>
      </c>
      <c r="B755" s="4">
        <v>45517</v>
      </c>
      <c r="C755" s="3" t="s">
        <v>33</v>
      </c>
      <c r="D755" s="3" t="s">
        <v>17</v>
      </c>
      <c r="E755" s="3" t="s">
        <v>197</v>
      </c>
      <c r="F755" s="5">
        <v>1149.49</v>
      </c>
      <c r="G755" s="3" t="s">
        <v>19</v>
      </c>
      <c r="H755" s="3" t="s">
        <v>14</v>
      </c>
      <c r="I755" s="8">
        <f t="shared" si="11"/>
        <v>45505</v>
      </c>
    </row>
    <row r="756" spans="1:9" x14ac:dyDescent="0.25">
      <c r="A756" s="7" t="s">
        <v>846</v>
      </c>
      <c r="B756" s="4">
        <v>45518</v>
      </c>
      <c r="C756" s="3" t="s">
        <v>10</v>
      </c>
      <c r="D756" s="3" t="s">
        <v>55</v>
      </c>
      <c r="E756" s="3" t="s">
        <v>142</v>
      </c>
      <c r="F756" s="5">
        <v>1557.89</v>
      </c>
      <c r="G756" s="3" t="s">
        <v>19</v>
      </c>
      <c r="H756" s="3" t="s">
        <v>20</v>
      </c>
      <c r="I756" s="8">
        <f t="shared" si="11"/>
        <v>45505</v>
      </c>
    </row>
    <row r="757" spans="1:9" x14ac:dyDescent="0.25">
      <c r="A757" s="7" t="s">
        <v>847</v>
      </c>
      <c r="B757" s="4">
        <v>45518</v>
      </c>
      <c r="C757" s="3" t="s">
        <v>39</v>
      </c>
      <c r="D757" s="3" t="s">
        <v>36</v>
      </c>
      <c r="E757" s="3" t="s">
        <v>37</v>
      </c>
      <c r="F757" s="5">
        <v>216.04</v>
      </c>
      <c r="G757" s="3" t="s">
        <v>27</v>
      </c>
      <c r="H757" s="3" t="s">
        <v>14</v>
      </c>
      <c r="I757" s="8">
        <f t="shared" si="11"/>
        <v>45505</v>
      </c>
    </row>
    <row r="758" spans="1:9" x14ac:dyDescent="0.25">
      <c r="A758" s="7" t="s">
        <v>848</v>
      </c>
      <c r="B758" s="4">
        <v>45518</v>
      </c>
      <c r="C758" s="3" t="s">
        <v>33</v>
      </c>
      <c r="D758" s="3" t="s">
        <v>40</v>
      </c>
      <c r="E758" s="3" t="s">
        <v>41</v>
      </c>
      <c r="F758" s="5">
        <v>260.33999999999997</v>
      </c>
      <c r="G758" s="3" t="s">
        <v>27</v>
      </c>
      <c r="H758" s="3" t="s">
        <v>14</v>
      </c>
      <c r="I758" s="8">
        <f t="shared" si="11"/>
        <v>45505</v>
      </c>
    </row>
    <row r="759" spans="1:9" x14ac:dyDescent="0.25">
      <c r="A759" s="7" t="s">
        <v>849</v>
      </c>
      <c r="B759" s="4">
        <v>45519</v>
      </c>
      <c r="C759" s="3" t="s">
        <v>16</v>
      </c>
      <c r="D759" s="3" t="s">
        <v>43</v>
      </c>
      <c r="E759" s="3" t="s">
        <v>78</v>
      </c>
      <c r="F759" s="5">
        <v>88.83</v>
      </c>
      <c r="G759" s="3" t="s">
        <v>86</v>
      </c>
      <c r="H759" s="3" t="s">
        <v>20</v>
      </c>
      <c r="I759" s="8">
        <f t="shared" si="11"/>
        <v>45505</v>
      </c>
    </row>
    <row r="760" spans="1:9" x14ac:dyDescent="0.25">
      <c r="A760" s="7" t="s">
        <v>850</v>
      </c>
      <c r="B760" s="4">
        <v>45519</v>
      </c>
      <c r="C760" s="3" t="s">
        <v>54</v>
      </c>
      <c r="D760" s="3" t="s">
        <v>50</v>
      </c>
      <c r="E760" s="3" t="s">
        <v>51</v>
      </c>
      <c r="F760" s="5">
        <v>78.25</v>
      </c>
      <c r="G760" s="3" t="s">
        <v>52</v>
      </c>
      <c r="H760" s="3" t="s">
        <v>20</v>
      </c>
      <c r="I760" s="8">
        <f t="shared" si="11"/>
        <v>45505</v>
      </c>
    </row>
    <row r="761" spans="1:9" x14ac:dyDescent="0.25">
      <c r="A761" s="7" t="s">
        <v>851</v>
      </c>
      <c r="B761" s="4">
        <v>45519</v>
      </c>
      <c r="C761" s="3" t="s">
        <v>29</v>
      </c>
      <c r="D761" s="3" t="s">
        <v>22</v>
      </c>
      <c r="E761" s="3" t="s">
        <v>175</v>
      </c>
      <c r="F761" s="5">
        <v>797.56</v>
      </c>
      <c r="G761" s="3" t="s">
        <v>27</v>
      </c>
      <c r="H761" s="3" t="s">
        <v>20</v>
      </c>
      <c r="I761" s="8">
        <f t="shared" si="11"/>
        <v>45505</v>
      </c>
    </row>
    <row r="762" spans="1:9" x14ac:dyDescent="0.25">
      <c r="A762" s="7" t="s">
        <v>852</v>
      </c>
      <c r="B762" s="4">
        <v>45520</v>
      </c>
      <c r="C762" s="3" t="s">
        <v>49</v>
      </c>
      <c r="D762" s="3" t="s">
        <v>114</v>
      </c>
      <c r="E762" s="3" t="s">
        <v>115</v>
      </c>
      <c r="F762" s="5">
        <v>797.47</v>
      </c>
      <c r="G762" s="3" t="s">
        <v>19</v>
      </c>
      <c r="H762" s="3" t="s">
        <v>14</v>
      </c>
      <c r="I762" s="8">
        <f t="shared" si="11"/>
        <v>45505</v>
      </c>
    </row>
    <row r="763" spans="1:9" x14ac:dyDescent="0.25">
      <c r="A763" s="7" t="s">
        <v>853</v>
      </c>
      <c r="B763" s="4">
        <v>45520</v>
      </c>
      <c r="C763" s="3" t="s">
        <v>22</v>
      </c>
      <c r="D763" s="3" t="s">
        <v>114</v>
      </c>
      <c r="E763" s="3" t="s">
        <v>199</v>
      </c>
      <c r="F763" s="5">
        <v>419.06</v>
      </c>
      <c r="G763" s="3" t="s">
        <v>24</v>
      </c>
      <c r="H763" s="3" t="s">
        <v>14</v>
      </c>
      <c r="I763" s="8">
        <f t="shared" si="11"/>
        <v>45505</v>
      </c>
    </row>
    <row r="764" spans="1:9" x14ac:dyDescent="0.25">
      <c r="A764" s="7" t="s">
        <v>854</v>
      </c>
      <c r="B764" s="4">
        <v>45521</v>
      </c>
      <c r="C764" s="3" t="s">
        <v>22</v>
      </c>
      <c r="D764" s="3" t="s">
        <v>17</v>
      </c>
      <c r="E764" s="3" t="s">
        <v>136</v>
      </c>
      <c r="F764" s="5">
        <v>918.72</v>
      </c>
      <c r="G764" s="3" t="s">
        <v>19</v>
      </c>
      <c r="H764" s="3" t="s">
        <v>14</v>
      </c>
      <c r="I764" s="8">
        <f t="shared" si="11"/>
        <v>45505</v>
      </c>
    </row>
    <row r="765" spans="1:9" x14ac:dyDescent="0.25">
      <c r="A765" s="7" t="s">
        <v>855</v>
      </c>
      <c r="B765" s="4">
        <v>45522</v>
      </c>
      <c r="C765" s="3" t="s">
        <v>54</v>
      </c>
      <c r="D765" s="3" t="s">
        <v>30</v>
      </c>
      <c r="E765" s="3" t="s">
        <v>169</v>
      </c>
      <c r="F765" s="5">
        <v>29.23</v>
      </c>
      <c r="G765" s="3" t="s">
        <v>52</v>
      </c>
      <c r="H765" s="3" t="s">
        <v>20</v>
      </c>
      <c r="I765" s="8">
        <f t="shared" si="11"/>
        <v>45505</v>
      </c>
    </row>
    <row r="766" spans="1:9" x14ac:dyDescent="0.25">
      <c r="A766" s="7" t="s">
        <v>856</v>
      </c>
      <c r="B766" s="4">
        <v>45522</v>
      </c>
      <c r="C766" s="3" t="s">
        <v>10</v>
      </c>
      <c r="D766" s="3" t="s">
        <v>17</v>
      </c>
      <c r="E766" s="3" t="s">
        <v>197</v>
      </c>
      <c r="F766" s="5">
        <v>1491.08</v>
      </c>
      <c r="G766" s="3" t="s">
        <v>19</v>
      </c>
      <c r="H766" s="3" t="s">
        <v>14</v>
      </c>
      <c r="I766" s="8">
        <f t="shared" si="11"/>
        <v>45505</v>
      </c>
    </row>
    <row r="767" spans="1:9" x14ac:dyDescent="0.25">
      <c r="A767" s="7" t="s">
        <v>857</v>
      </c>
      <c r="B767" s="4">
        <v>45523</v>
      </c>
      <c r="C767" s="3" t="s">
        <v>33</v>
      </c>
      <c r="D767" s="3" t="s">
        <v>17</v>
      </c>
      <c r="E767" s="3" t="s">
        <v>171</v>
      </c>
      <c r="F767" s="5">
        <v>1166.68</v>
      </c>
      <c r="G767" s="3" t="s">
        <v>19</v>
      </c>
      <c r="H767" s="3" t="s">
        <v>14</v>
      </c>
      <c r="I767" s="8">
        <f t="shared" si="11"/>
        <v>45505</v>
      </c>
    </row>
    <row r="768" spans="1:9" x14ac:dyDescent="0.25">
      <c r="A768" s="7" t="s">
        <v>858</v>
      </c>
      <c r="B768" s="4">
        <v>45524</v>
      </c>
      <c r="C768" s="3" t="s">
        <v>16</v>
      </c>
      <c r="D768" s="3" t="s">
        <v>22</v>
      </c>
      <c r="E768" s="3" t="s">
        <v>175</v>
      </c>
      <c r="F768" s="5">
        <v>312.62</v>
      </c>
      <c r="G768" s="3" t="s">
        <v>27</v>
      </c>
      <c r="H768" s="3" t="s">
        <v>14</v>
      </c>
      <c r="I768" s="8">
        <f t="shared" si="11"/>
        <v>45505</v>
      </c>
    </row>
    <row r="769" spans="1:9" x14ac:dyDescent="0.25">
      <c r="A769" s="7" t="s">
        <v>859</v>
      </c>
      <c r="B769" s="4">
        <v>45524</v>
      </c>
      <c r="C769" s="3" t="s">
        <v>54</v>
      </c>
      <c r="D769" s="3" t="s">
        <v>40</v>
      </c>
      <c r="E769" s="3" t="s">
        <v>105</v>
      </c>
      <c r="F769" s="5">
        <v>142.93</v>
      </c>
      <c r="G769" s="3" t="s">
        <v>27</v>
      </c>
      <c r="H769" s="3" t="s">
        <v>14</v>
      </c>
      <c r="I769" s="8">
        <f t="shared" si="11"/>
        <v>45505</v>
      </c>
    </row>
    <row r="770" spans="1:9" x14ac:dyDescent="0.25">
      <c r="A770" s="7" t="s">
        <v>860</v>
      </c>
      <c r="B770" s="4">
        <v>45524</v>
      </c>
      <c r="C770" s="3" t="s">
        <v>29</v>
      </c>
      <c r="D770" s="3" t="s">
        <v>30</v>
      </c>
      <c r="E770" s="3" t="s">
        <v>185</v>
      </c>
      <c r="F770" s="5">
        <v>155.82</v>
      </c>
      <c r="G770" s="3" t="s">
        <v>24</v>
      </c>
      <c r="H770" s="3" t="s">
        <v>20</v>
      </c>
      <c r="I770" s="8">
        <f t="shared" si="11"/>
        <v>45505</v>
      </c>
    </row>
    <row r="771" spans="1:9" x14ac:dyDescent="0.25">
      <c r="A771" s="7" t="s">
        <v>861</v>
      </c>
      <c r="B771" s="4">
        <v>45525</v>
      </c>
      <c r="C771" s="3" t="s">
        <v>33</v>
      </c>
      <c r="D771" s="3" t="s">
        <v>50</v>
      </c>
      <c r="E771" s="3" t="s">
        <v>51</v>
      </c>
      <c r="F771" s="5">
        <v>41.1</v>
      </c>
      <c r="G771" s="3" t="s">
        <v>24</v>
      </c>
      <c r="H771" s="3" t="s">
        <v>14</v>
      </c>
      <c r="I771" s="8">
        <f t="shared" si="11"/>
        <v>45505</v>
      </c>
    </row>
    <row r="772" spans="1:9" x14ac:dyDescent="0.25">
      <c r="A772" s="7" t="s">
        <v>862</v>
      </c>
      <c r="B772" s="4">
        <v>45525</v>
      </c>
      <c r="C772" s="3" t="s">
        <v>29</v>
      </c>
      <c r="D772" s="3" t="s">
        <v>46</v>
      </c>
      <c r="E772" s="3" t="s">
        <v>187</v>
      </c>
      <c r="F772" s="5">
        <v>496.63</v>
      </c>
      <c r="G772" s="3" t="s">
        <v>13</v>
      </c>
      <c r="H772" s="3" t="s">
        <v>14</v>
      </c>
      <c r="I772" s="8">
        <f t="shared" si="11"/>
        <v>45505</v>
      </c>
    </row>
    <row r="773" spans="1:9" x14ac:dyDescent="0.25">
      <c r="A773" s="7" t="s">
        <v>863</v>
      </c>
      <c r="B773" s="4">
        <v>45526</v>
      </c>
      <c r="C773" s="3" t="s">
        <v>10</v>
      </c>
      <c r="D773" s="3" t="s">
        <v>17</v>
      </c>
      <c r="E773" s="3" t="s">
        <v>18</v>
      </c>
      <c r="F773" s="5">
        <v>748.45</v>
      </c>
      <c r="G773" s="3" t="s">
        <v>19</v>
      </c>
      <c r="H773" s="3" t="s">
        <v>14</v>
      </c>
      <c r="I773" s="8">
        <f t="shared" ref="I773:I836" si="12">DATE(YEAR(B773),MONTH(B773),1)</f>
        <v>45505</v>
      </c>
    </row>
    <row r="774" spans="1:9" x14ac:dyDescent="0.25">
      <c r="A774" s="7" t="s">
        <v>864</v>
      </c>
      <c r="B774" s="4">
        <v>45526</v>
      </c>
      <c r="C774" s="3" t="s">
        <v>10</v>
      </c>
      <c r="D774" s="3" t="s">
        <v>114</v>
      </c>
      <c r="E774" s="3" t="s">
        <v>117</v>
      </c>
      <c r="F774" s="5">
        <v>1011.95</v>
      </c>
      <c r="G774" s="3" t="s">
        <v>24</v>
      </c>
      <c r="H774" s="3" t="s">
        <v>14</v>
      </c>
      <c r="I774" s="8">
        <f t="shared" si="12"/>
        <v>45505</v>
      </c>
    </row>
    <row r="775" spans="1:9" x14ac:dyDescent="0.25">
      <c r="A775" s="7" t="s">
        <v>865</v>
      </c>
      <c r="B775" s="4">
        <v>45526</v>
      </c>
      <c r="C775" s="3" t="s">
        <v>54</v>
      </c>
      <c r="D775" s="3" t="s">
        <v>22</v>
      </c>
      <c r="E775" s="3" t="s">
        <v>244</v>
      </c>
      <c r="F775" s="5">
        <v>1040.9100000000001</v>
      </c>
      <c r="G775" s="3" t="s">
        <v>19</v>
      </c>
      <c r="H775" s="3" t="s">
        <v>20</v>
      </c>
      <c r="I775" s="8">
        <f t="shared" si="12"/>
        <v>45505</v>
      </c>
    </row>
    <row r="776" spans="1:9" x14ac:dyDescent="0.25">
      <c r="A776" s="7" t="s">
        <v>866</v>
      </c>
      <c r="B776" s="4">
        <v>45526</v>
      </c>
      <c r="C776" s="3" t="s">
        <v>33</v>
      </c>
      <c r="D776" s="3" t="s">
        <v>36</v>
      </c>
      <c r="E776" s="3" t="s">
        <v>37</v>
      </c>
      <c r="F776" s="5">
        <v>26.51</v>
      </c>
      <c r="G776" s="3" t="s">
        <v>19</v>
      </c>
      <c r="H776" s="3" t="s">
        <v>14</v>
      </c>
      <c r="I776" s="8">
        <f t="shared" si="12"/>
        <v>45505</v>
      </c>
    </row>
    <row r="777" spans="1:9" x14ac:dyDescent="0.25">
      <c r="A777" s="7" t="s">
        <v>867</v>
      </c>
      <c r="B777" s="4">
        <v>45526</v>
      </c>
      <c r="C777" s="3" t="s">
        <v>10</v>
      </c>
      <c r="D777" s="3" t="s">
        <v>114</v>
      </c>
      <c r="E777" s="3" t="s">
        <v>199</v>
      </c>
      <c r="F777" s="5">
        <v>693.5</v>
      </c>
      <c r="G777" s="3" t="s">
        <v>19</v>
      </c>
      <c r="H777" s="3" t="s">
        <v>14</v>
      </c>
      <c r="I777" s="8">
        <f t="shared" si="12"/>
        <v>45505</v>
      </c>
    </row>
    <row r="778" spans="1:9" x14ac:dyDescent="0.25">
      <c r="A778" s="7" t="s">
        <v>868</v>
      </c>
      <c r="B778" s="4">
        <v>45527</v>
      </c>
      <c r="C778" s="3" t="s">
        <v>29</v>
      </c>
      <c r="D778" s="3" t="s">
        <v>17</v>
      </c>
      <c r="E778" s="3" t="s">
        <v>18</v>
      </c>
      <c r="F778" s="5">
        <v>880.54</v>
      </c>
      <c r="G778" s="3" t="s">
        <v>24</v>
      </c>
      <c r="H778" s="3" t="s">
        <v>14</v>
      </c>
      <c r="I778" s="8">
        <f t="shared" si="12"/>
        <v>45505</v>
      </c>
    </row>
    <row r="779" spans="1:9" x14ac:dyDescent="0.25">
      <c r="A779" s="7" t="s">
        <v>869</v>
      </c>
      <c r="B779" s="4">
        <v>45527</v>
      </c>
      <c r="C779" s="3" t="s">
        <v>16</v>
      </c>
      <c r="D779" s="3" t="s">
        <v>114</v>
      </c>
      <c r="E779" s="3" t="s">
        <v>115</v>
      </c>
      <c r="F779" s="5">
        <v>793.75</v>
      </c>
      <c r="G779" s="3" t="s">
        <v>19</v>
      </c>
      <c r="H779" s="3" t="s">
        <v>20</v>
      </c>
      <c r="I779" s="8">
        <f t="shared" si="12"/>
        <v>45505</v>
      </c>
    </row>
    <row r="780" spans="1:9" x14ac:dyDescent="0.25">
      <c r="A780" s="7" t="s">
        <v>870</v>
      </c>
      <c r="B780" s="4">
        <v>45527</v>
      </c>
      <c r="C780" s="3" t="s">
        <v>49</v>
      </c>
      <c r="D780" s="3" t="s">
        <v>114</v>
      </c>
      <c r="E780" s="3" t="s">
        <v>157</v>
      </c>
      <c r="F780" s="5">
        <v>505.07</v>
      </c>
      <c r="G780" s="3" t="s">
        <v>19</v>
      </c>
      <c r="H780" s="3" t="s">
        <v>14</v>
      </c>
      <c r="I780" s="8">
        <f t="shared" si="12"/>
        <v>45505</v>
      </c>
    </row>
    <row r="781" spans="1:9" x14ac:dyDescent="0.25">
      <c r="A781" s="7" t="s">
        <v>871</v>
      </c>
      <c r="B781" s="4">
        <v>45527</v>
      </c>
      <c r="C781" s="3" t="s">
        <v>16</v>
      </c>
      <c r="D781" s="3" t="s">
        <v>22</v>
      </c>
      <c r="E781" s="3" t="s">
        <v>26</v>
      </c>
      <c r="F781" s="5">
        <v>352.67</v>
      </c>
      <c r="G781" s="3" t="s">
        <v>27</v>
      </c>
      <c r="H781" s="3" t="s">
        <v>20</v>
      </c>
      <c r="I781" s="8">
        <f t="shared" si="12"/>
        <v>45505</v>
      </c>
    </row>
    <row r="782" spans="1:9" x14ac:dyDescent="0.25">
      <c r="A782" s="7" t="s">
        <v>872</v>
      </c>
      <c r="B782" s="4">
        <v>45528</v>
      </c>
      <c r="C782" s="3" t="s">
        <v>22</v>
      </c>
      <c r="D782" s="3" t="s">
        <v>50</v>
      </c>
      <c r="E782" s="3" t="s">
        <v>70</v>
      </c>
      <c r="F782" s="5">
        <v>55.06</v>
      </c>
      <c r="G782" s="3" t="s">
        <v>24</v>
      </c>
      <c r="H782" s="3" t="s">
        <v>14</v>
      </c>
      <c r="I782" s="8">
        <f t="shared" si="12"/>
        <v>45505</v>
      </c>
    </row>
    <row r="783" spans="1:9" x14ac:dyDescent="0.25">
      <c r="A783" s="7" t="s">
        <v>873</v>
      </c>
      <c r="B783" s="4">
        <v>45528</v>
      </c>
      <c r="C783" s="3" t="s">
        <v>16</v>
      </c>
      <c r="D783" s="3" t="s">
        <v>30</v>
      </c>
      <c r="E783" s="3" t="s">
        <v>169</v>
      </c>
      <c r="F783" s="5">
        <v>307.37</v>
      </c>
      <c r="G783" s="3" t="s">
        <v>24</v>
      </c>
      <c r="H783" s="3" t="s">
        <v>14</v>
      </c>
      <c r="I783" s="8">
        <f t="shared" si="12"/>
        <v>45505</v>
      </c>
    </row>
    <row r="784" spans="1:9" x14ac:dyDescent="0.25">
      <c r="A784" s="7" t="s">
        <v>874</v>
      </c>
      <c r="B784" s="4">
        <v>45528</v>
      </c>
      <c r="C784" s="3" t="s">
        <v>33</v>
      </c>
      <c r="D784" s="3" t="s">
        <v>114</v>
      </c>
      <c r="E784" s="3" t="s">
        <v>157</v>
      </c>
      <c r="F784" s="5">
        <v>264.08</v>
      </c>
      <c r="G784" s="3" t="s">
        <v>24</v>
      </c>
      <c r="H784" s="3" t="s">
        <v>20</v>
      </c>
      <c r="I784" s="8">
        <f t="shared" si="12"/>
        <v>45505</v>
      </c>
    </row>
    <row r="785" spans="1:9" x14ac:dyDescent="0.25">
      <c r="A785" s="7" t="s">
        <v>875</v>
      </c>
      <c r="B785" s="4">
        <v>45528</v>
      </c>
      <c r="C785" s="3" t="s">
        <v>16</v>
      </c>
      <c r="D785" s="3" t="s">
        <v>17</v>
      </c>
      <c r="E785" s="3" t="s">
        <v>136</v>
      </c>
      <c r="F785" s="5">
        <v>692.95</v>
      </c>
      <c r="G785" s="3" t="s">
        <v>24</v>
      </c>
      <c r="H785" s="3" t="s">
        <v>14</v>
      </c>
      <c r="I785" s="8">
        <f t="shared" si="12"/>
        <v>45505</v>
      </c>
    </row>
    <row r="786" spans="1:9" x14ac:dyDescent="0.25">
      <c r="A786" s="7" t="s">
        <v>876</v>
      </c>
      <c r="B786" s="4">
        <v>45528</v>
      </c>
      <c r="C786" s="3" t="s">
        <v>10</v>
      </c>
      <c r="D786" s="3" t="s">
        <v>50</v>
      </c>
      <c r="E786" s="3" t="s">
        <v>166</v>
      </c>
      <c r="F786" s="5">
        <v>84.14</v>
      </c>
      <c r="G786" s="3" t="s">
        <v>24</v>
      </c>
      <c r="H786" s="3" t="s">
        <v>20</v>
      </c>
      <c r="I786" s="8">
        <f t="shared" si="12"/>
        <v>45505</v>
      </c>
    </row>
    <row r="787" spans="1:9" x14ac:dyDescent="0.25">
      <c r="A787" s="7" t="s">
        <v>877</v>
      </c>
      <c r="B787" s="4">
        <v>45529</v>
      </c>
      <c r="C787" s="3" t="s">
        <v>16</v>
      </c>
      <c r="D787" s="3" t="s">
        <v>114</v>
      </c>
      <c r="E787" s="3" t="s">
        <v>117</v>
      </c>
      <c r="F787" s="5">
        <v>327.87</v>
      </c>
      <c r="G787" s="3" t="s">
        <v>24</v>
      </c>
      <c r="H787" s="3" t="s">
        <v>14</v>
      </c>
      <c r="I787" s="8">
        <f t="shared" si="12"/>
        <v>45505</v>
      </c>
    </row>
    <row r="788" spans="1:9" x14ac:dyDescent="0.25">
      <c r="A788" s="7" t="s">
        <v>878</v>
      </c>
      <c r="B788" s="4">
        <v>45529</v>
      </c>
      <c r="C788" s="3" t="s">
        <v>29</v>
      </c>
      <c r="D788" s="3" t="s">
        <v>36</v>
      </c>
      <c r="E788" s="3" t="s">
        <v>88</v>
      </c>
      <c r="F788" s="5">
        <v>189.66</v>
      </c>
      <c r="G788" s="3" t="s">
        <v>19</v>
      </c>
      <c r="H788" s="3" t="s">
        <v>14</v>
      </c>
      <c r="I788" s="8">
        <f t="shared" si="12"/>
        <v>45505</v>
      </c>
    </row>
    <row r="789" spans="1:9" x14ac:dyDescent="0.25">
      <c r="A789" s="7" t="s">
        <v>879</v>
      </c>
      <c r="B789" s="4">
        <v>45530</v>
      </c>
      <c r="C789" s="3" t="s">
        <v>29</v>
      </c>
      <c r="D789" s="3" t="s">
        <v>50</v>
      </c>
      <c r="E789" s="3" t="s">
        <v>51</v>
      </c>
      <c r="F789" s="5">
        <v>48.32</v>
      </c>
      <c r="G789" s="3" t="s">
        <v>52</v>
      </c>
      <c r="H789" s="3" t="s">
        <v>14</v>
      </c>
      <c r="I789" s="8">
        <f t="shared" si="12"/>
        <v>45505</v>
      </c>
    </row>
    <row r="790" spans="1:9" x14ac:dyDescent="0.25">
      <c r="A790" s="7" t="s">
        <v>880</v>
      </c>
      <c r="B790" s="4">
        <v>45530</v>
      </c>
      <c r="C790" s="3" t="s">
        <v>10</v>
      </c>
      <c r="D790" s="3" t="s">
        <v>30</v>
      </c>
      <c r="E790" s="3" t="s">
        <v>169</v>
      </c>
      <c r="F790" s="5">
        <v>325.25</v>
      </c>
      <c r="G790" s="3" t="s">
        <v>24</v>
      </c>
      <c r="H790" s="3" t="s">
        <v>14</v>
      </c>
      <c r="I790" s="8">
        <f t="shared" si="12"/>
        <v>45505</v>
      </c>
    </row>
    <row r="791" spans="1:9" x14ac:dyDescent="0.25">
      <c r="A791" s="7" t="s">
        <v>881</v>
      </c>
      <c r="B791" s="4">
        <v>45530</v>
      </c>
      <c r="C791" s="3" t="s">
        <v>54</v>
      </c>
      <c r="D791" s="3" t="s">
        <v>36</v>
      </c>
      <c r="E791" s="3" t="s">
        <v>238</v>
      </c>
      <c r="F791" s="5">
        <v>216.7</v>
      </c>
      <c r="G791" s="3" t="s">
        <v>19</v>
      </c>
      <c r="H791" s="3" t="s">
        <v>14</v>
      </c>
      <c r="I791" s="8">
        <f t="shared" si="12"/>
        <v>45505</v>
      </c>
    </row>
    <row r="792" spans="1:9" x14ac:dyDescent="0.25">
      <c r="A792" s="7" t="s">
        <v>882</v>
      </c>
      <c r="B792" s="4">
        <v>45531</v>
      </c>
      <c r="C792" s="3" t="s">
        <v>39</v>
      </c>
      <c r="D792" s="3" t="s">
        <v>40</v>
      </c>
      <c r="E792" s="3" t="s">
        <v>130</v>
      </c>
      <c r="F792" s="5">
        <v>524.26</v>
      </c>
      <c r="G792" s="3" t="s">
        <v>19</v>
      </c>
      <c r="H792" s="3" t="s">
        <v>20</v>
      </c>
      <c r="I792" s="8">
        <f t="shared" si="12"/>
        <v>45505</v>
      </c>
    </row>
    <row r="793" spans="1:9" x14ac:dyDescent="0.25">
      <c r="A793" s="7" t="s">
        <v>883</v>
      </c>
      <c r="B793" s="4">
        <v>45531</v>
      </c>
      <c r="C793" s="3" t="s">
        <v>54</v>
      </c>
      <c r="D793" s="3" t="s">
        <v>55</v>
      </c>
      <c r="E793" s="3" t="s">
        <v>56</v>
      </c>
      <c r="F793" s="5">
        <v>1667.42</v>
      </c>
      <c r="G793" s="3" t="s">
        <v>19</v>
      </c>
      <c r="H793" s="3" t="s">
        <v>20</v>
      </c>
      <c r="I793" s="8">
        <f t="shared" si="12"/>
        <v>45505</v>
      </c>
    </row>
    <row r="794" spans="1:9" x14ac:dyDescent="0.25">
      <c r="A794" s="7" t="s">
        <v>884</v>
      </c>
      <c r="B794" s="4">
        <v>45531</v>
      </c>
      <c r="C794" s="3" t="s">
        <v>33</v>
      </c>
      <c r="D794" s="3" t="s">
        <v>36</v>
      </c>
      <c r="E794" s="3" t="s">
        <v>88</v>
      </c>
      <c r="F794" s="5">
        <v>140.65</v>
      </c>
      <c r="G794" s="3" t="s">
        <v>19</v>
      </c>
      <c r="H794" s="3" t="s">
        <v>14</v>
      </c>
      <c r="I794" s="8">
        <f t="shared" si="12"/>
        <v>45505</v>
      </c>
    </row>
    <row r="795" spans="1:9" x14ac:dyDescent="0.25">
      <c r="A795" s="7" t="s">
        <v>885</v>
      </c>
      <c r="B795" s="4">
        <v>45531</v>
      </c>
      <c r="C795" s="3" t="s">
        <v>33</v>
      </c>
      <c r="D795" s="3" t="s">
        <v>17</v>
      </c>
      <c r="E795" s="3" t="s">
        <v>80</v>
      </c>
      <c r="F795" s="5">
        <v>503.97</v>
      </c>
      <c r="G795" s="3" t="s">
        <v>19</v>
      </c>
      <c r="H795" s="3" t="s">
        <v>20</v>
      </c>
      <c r="I795" s="8">
        <f t="shared" si="12"/>
        <v>45505</v>
      </c>
    </row>
    <row r="796" spans="1:9" x14ac:dyDescent="0.25">
      <c r="A796" s="7" t="s">
        <v>886</v>
      </c>
      <c r="B796" s="4">
        <v>45531</v>
      </c>
      <c r="C796" s="3" t="s">
        <v>39</v>
      </c>
      <c r="D796" s="3" t="s">
        <v>114</v>
      </c>
      <c r="E796" s="3" t="s">
        <v>199</v>
      </c>
      <c r="F796" s="5">
        <v>428.11</v>
      </c>
      <c r="G796" s="3" t="s">
        <v>19</v>
      </c>
      <c r="H796" s="3" t="s">
        <v>14</v>
      </c>
      <c r="I796" s="8">
        <f t="shared" si="12"/>
        <v>45505</v>
      </c>
    </row>
    <row r="797" spans="1:9" x14ac:dyDescent="0.25">
      <c r="A797" s="7" t="s">
        <v>887</v>
      </c>
      <c r="B797" s="4">
        <v>45531</v>
      </c>
      <c r="C797" s="3" t="s">
        <v>39</v>
      </c>
      <c r="D797" s="3" t="s">
        <v>46</v>
      </c>
      <c r="E797" s="3" t="s">
        <v>47</v>
      </c>
      <c r="F797" s="5">
        <v>449.37</v>
      </c>
      <c r="G797" s="3" t="s">
        <v>86</v>
      </c>
      <c r="H797" s="3" t="s">
        <v>14</v>
      </c>
      <c r="I797" s="8">
        <f t="shared" si="12"/>
        <v>45505</v>
      </c>
    </row>
    <row r="798" spans="1:9" x14ac:dyDescent="0.25">
      <c r="A798" s="7" t="s">
        <v>888</v>
      </c>
      <c r="B798" s="4">
        <v>45531</v>
      </c>
      <c r="C798" s="3" t="s">
        <v>39</v>
      </c>
      <c r="D798" s="3" t="s">
        <v>46</v>
      </c>
      <c r="E798" s="3" t="s">
        <v>47</v>
      </c>
      <c r="F798" s="5">
        <v>222.48</v>
      </c>
      <c r="G798" s="3" t="s">
        <v>86</v>
      </c>
      <c r="H798" s="3" t="s">
        <v>14</v>
      </c>
      <c r="I798" s="8">
        <f t="shared" si="12"/>
        <v>45505</v>
      </c>
    </row>
    <row r="799" spans="1:9" x14ac:dyDescent="0.25">
      <c r="A799" s="7" t="s">
        <v>889</v>
      </c>
      <c r="B799" s="4">
        <v>45532</v>
      </c>
      <c r="C799" s="3" t="s">
        <v>10</v>
      </c>
      <c r="D799" s="3" t="s">
        <v>82</v>
      </c>
      <c r="E799" s="3" t="s">
        <v>227</v>
      </c>
      <c r="F799" s="5">
        <v>441.35</v>
      </c>
      <c r="G799" s="3" t="s">
        <v>13</v>
      </c>
      <c r="H799" s="3" t="s">
        <v>14</v>
      </c>
      <c r="I799" s="8">
        <f t="shared" si="12"/>
        <v>45505</v>
      </c>
    </row>
    <row r="800" spans="1:9" x14ac:dyDescent="0.25">
      <c r="A800" s="7" t="s">
        <v>890</v>
      </c>
      <c r="B800" s="4">
        <v>45532</v>
      </c>
      <c r="C800" s="3" t="s">
        <v>33</v>
      </c>
      <c r="D800" s="3" t="s">
        <v>50</v>
      </c>
      <c r="E800" s="3" t="s">
        <v>51</v>
      </c>
      <c r="F800" s="5">
        <v>54.36</v>
      </c>
      <c r="G800" s="3" t="s">
        <v>52</v>
      </c>
      <c r="H800" s="3" t="s">
        <v>20</v>
      </c>
      <c r="I800" s="8">
        <f t="shared" si="12"/>
        <v>45505</v>
      </c>
    </row>
    <row r="801" spans="1:9" x14ac:dyDescent="0.25">
      <c r="A801" s="7" t="s">
        <v>891</v>
      </c>
      <c r="B801" s="4">
        <v>45532</v>
      </c>
      <c r="C801" s="3" t="s">
        <v>33</v>
      </c>
      <c r="D801" s="3" t="s">
        <v>17</v>
      </c>
      <c r="E801" s="3" t="s">
        <v>197</v>
      </c>
      <c r="F801" s="5">
        <v>844.49</v>
      </c>
      <c r="G801" s="3" t="s">
        <v>24</v>
      </c>
      <c r="H801" s="3" t="s">
        <v>20</v>
      </c>
      <c r="I801" s="8">
        <f t="shared" si="12"/>
        <v>45505</v>
      </c>
    </row>
    <row r="802" spans="1:9" x14ac:dyDescent="0.25">
      <c r="A802" s="7" t="s">
        <v>892</v>
      </c>
      <c r="B802" s="4">
        <v>45533</v>
      </c>
      <c r="C802" s="3" t="s">
        <v>33</v>
      </c>
      <c r="D802" s="3" t="s">
        <v>22</v>
      </c>
      <c r="E802" s="3" t="s">
        <v>75</v>
      </c>
      <c r="F802" s="5">
        <v>2175.75</v>
      </c>
      <c r="G802" s="3" t="s">
        <v>27</v>
      </c>
      <c r="H802" s="3" t="s">
        <v>14</v>
      </c>
      <c r="I802" s="8">
        <f t="shared" si="12"/>
        <v>45505</v>
      </c>
    </row>
    <row r="803" spans="1:9" x14ac:dyDescent="0.25">
      <c r="A803" s="7" t="s">
        <v>893</v>
      </c>
      <c r="B803" s="4">
        <v>45533</v>
      </c>
      <c r="C803" s="3" t="s">
        <v>39</v>
      </c>
      <c r="D803" s="3" t="s">
        <v>43</v>
      </c>
      <c r="E803" s="3" t="s">
        <v>85</v>
      </c>
      <c r="F803" s="5">
        <v>64.58</v>
      </c>
      <c r="G803" s="3" t="s">
        <v>86</v>
      </c>
      <c r="H803" s="3" t="s">
        <v>14</v>
      </c>
      <c r="I803" s="8">
        <f t="shared" si="12"/>
        <v>45505</v>
      </c>
    </row>
    <row r="804" spans="1:9" x14ac:dyDescent="0.25">
      <c r="A804" s="7" t="s">
        <v>894</v>
      </c>
      <c r="B804" s="4">
        <v>45533</v>
      </c>
      <c r="C804" s="3" t="s">
        <v>29</v>
      </c>
      <c r="D804" s="3" t="s">
        <v>82</v>
      </c>
      <c r="E804" s="3" t="s">
        <v>83</v>
      </c>
      <c r="F804" s="5">
        <v>2461.5</v>
      </c>
      <c r="G804" s="3" t="s">
        <v>13</v>
      </c>
      <c r="H804" s="3" t="s">
        <v>14</v>
      </c>
      <c r="I804" s="8">
        <f t="shared" si="12"/>
        <v>45505</v>
      </c>
    </row>
    <row r="805" spans="1:9" x14ac:dyDescent="0.25">
      <c r="A805" s="7" t="s">
        <v>895</v>
      </c>
      <c r="B805" s="4">
        <v>45533</v>
      </c>
      <c r="C805" s="3" t="s">
        <v>16</v>
      </c>
      <c r="D805" s="3" t="s">
        <v>36</v>
      </c>
      <c r="E805" s="3" t="s">
        <v>37</v>
      </c>
      <c r="F805" s="5">
        <v>44.93</v>
      </c>
      <c r="G805" s="3" t="s">
        <v>27</v>
      </c>
      <c r="H805" s="3" t="s">
        <v>14</v>
      </c>
      <c r="I805" s="8">
        <f t="shared" si="12"/>
        <v>45505</v>
      </c>
    </row>
    <row r="806" spans="1:9" x14ac:dyDescent="0.25">
      <c r="A806" s="7" t="s">
        <v>896</v>
      </c>
      <c r="B806" s="4">
        <v>45534</v>
      </c>
      <c r="C806" s="3" t="s">
        <v>49</v>
      </c>
      <c r="D806" s="3" t="s">
        <v>55</v>
      </c>
      <c r="E806" s="3" t="s">
        <v>56</v>
      </c>
      <c r="F806" s="5">
        <v>1412.34</v>
      </c>
      <c r="G806" s="3" t="s">
        <v>19</v>
      </c>
      <c r="H806" s="3" t="s">
        <v>14</v>
      </c>
      <c r="I806" s="8">
        <f t="shared" si="12"/>
        <v>45505</v>
      </c>
    </row>
    <row r="807" spans="1:9" x14ac:dyDescent="0.25">
      <c r="A807" s="7" t="s">
        <v>897</v>
      </c>
      <c r="B807" s="4">
        <v>45534</v>
      </c>
      <c r="C807" s="3" t="s">
        <v>29</v>
      </c>
      <c r="D807" s="3" t="s">
        <v>30</v>
      </c>
      <c r="E807" s="3" t="s">
        <v>214</v>
      </c>
      <c r="F807" s="5">
        <v>263.77999999999997</v>
      </c>
      <c r="G807" s="3" t="s">
        <v>24</v>
      </c>
      <c r="H807" s="3" t="s">
        <v>20</v>
      </c>
      <c r="I807" s="8">
        <f t="shared" si="12"/>
        <v>45505</v>
      </c>
    </row>
    <row r="808" spans="1:9" x14ac:dyDescent="0.25">
      <c r="A808" s="7" t="s">
        <v>898</v>
      </c>
      <c r="B808" s="4">
        <v>45534</v>
      </c>
      <c r="C808" s="3" t="s">
        <v>16</v>
      </c>
      <c r="D808" s="3" t="s">
        <v>17</v>
      </c>
      <c r="E808" s="3" t="s">
        <v>80</v>
      </c>
      <c r="F808" s="5">
        <v>1072.9100000000001</v>
      </c>
      <c r="G808" s="3" t="s">
        <v>19</v>
      </c>
      <c r="H808" s="3" t="s">
        <v>14</v>
      </c>
      <c r="I808" s="8">
        <f t="shared" si="12"/>
        <v>45505</v>
      </c>
    </row>
    <row r="809" spans="1:9" x14ac:dyDescent="0.25">
      <c r="A809" s="7" t="s">
        <v>899</v>
      </c>
      <c r="B809" s="4">
        <v>45534</v>
      </c>
      <c r="C809" s="3" t="s">
        <v>49</v>
      </c>
      <c r="D809" s="3" t="s">
        <v>17</v>
      </c>
      <c r="E809" s="3" t="s">
        <v>80</v>
      </c>
      <c r="F809" s="5">
        <v>239.33</v>
      </c>
      <c r="G809" s="3" t="s">
        <v>24</v>
      </c>
      <c r="H809" s="3" t="s">
        <v>14</v>
      </c>
      <c r="I809" s="8">
        <f t="shared" si="12"/>
        <v>45505</v>
      </c>
    </row>
    <row r="810" spans="1:9" x14ac:dyDescent="0.25">
      <c r="A810" s="7" t="s">
        <v>900</v>
      </c>
      <c r="B810" s="4">
        <v>45535</v>
      </c>
      <c r="C810" s="3" t="s">
        <v>29</v>
      </c>
      <c r="D810" s="3" t="s">
        <v>17</v>
      </c>
      <c r="E810" s="3" t="s">
        <v>18</v>
      </c>
      <c r="F810" s="5">
        <v>441.42</v>
      </c>
      <c r="G810" s="3" t="s">
        <v>19</v>
      </c>
      <c r="H810" s="3" t="s">
        <v>20</v>
      </c>
      <c r="I810" s="8">
        <f t="shared" si="12"/>
        <v>45505</v>
      </c>
    </row>
    <row r="811" spans="1:9" x14ac:dyDescent="0.25">
      <c r="A811" s="7" t="s">
        <v>901</v>
      </c>
      <c r="B811" s="4">
        <v>45535</v>
      </c>
      <c r="C811" s="3" t="s">
        <v>39</v>
      </c>
      <c r="D811" s="3" t="s">
        <v>114</v>
      </c>
      <c r="E811" s="3" t="s">
        <v>115</v>
      </c>
      <c r="F811" s="5">
        <v>1038.96</v>
      </c>
      <c r="G811" s="3" t="s">
        <v>24</v>
      </c>
      <c r="H811" s="3" t="s">
        <v>14</v>
      </c>
      <c r="I811" s="8">
        <f t="shared" si="12"/>
        <v>45505</v>
      </c>
    </row>
    <row r="812" spans="1:9" x14ac:dyDescent="0.25">
      <c r="A812" s="7" t="s">
        <v>902</v>
      </c>
      <c r="B812" s="4">
        <v>45535</v>
      </c>
      <c r="C812" s="3" t="s">
        <v>22</v>
      </c>
      <c r="D812" s="3" t="s">
        <v>50</v>
      </c>
      <c r="E812" s="3" t="s">
        <v>70</v>
      </c>
      <c r="F812" s="5">
        <v>148.94</v>
      </c>
      <c r="G812" s="3" t="s">
        <v>24</v>
      </c>
      <c r="H812" s="3" t="s">
        <v>14</v>
      </c>
      <c r="I812" s="8">
        <f t="shared" si="12"/>
        <v>45505</v>
      </c>
    </row>
    <row r="813" spans="1:9" x14ac:dyDescent="0.25">
      <c r="A813" s="7" t="s">
        <v>903</v>
      </c>
      <c r="B813" s="4">
        <v>45535</v>
      </c>
      <c r="C813" s="3" t="s">
        <v>29</v>
      </c>
      <c r="D813" s="3" t="s">
        <v>43</v>
      </c>
      <c r="E813" s="3" t="s">
        <v>85</v>
      </c>
      <c r="F813" s="5">
        <v>373.65</v>
      </c>
      <c r="G813" s="3" t="s">
        <v>86</v>
      </c>
      <c r="H813" s="3" t="s">
        <v>14</v>
      </c>
      <c r="I813" s="8">
        <f t="shared" si="12"/>
        <v>45505</v>
      </c>
    </row>
    <row r="814" spans="1:9" x14ac:dyDescent="0.25">
      <c r="A814" s="7" t="s">
        <v>904</v>
      </c>
      <c r="B814" s="4">
        <v>45535</v>
      </c>
      <c r="C814" s="3" t="s">
        <v>49</v>
      </c>
      <c r="D814" s="3" t="s">
        <v>22</v>
      </c>
      <c r="E814" s="3" t="s">
        <v>244</v>
      </c>
      <c r="F814" s="5">
        <v>533.87</v>
      </c>
      <c r="G814" s="3" t="s">
        <v>19</v>
      </c>
      <c r="H814" s="3" t="s">
        <v>14</v>
      </c>
      <c r="I814" s="8">
        <f t="shared" si="12"/>
        <v>45505</v>
      </c>
    </row>
    <row r="815" spans="1:9" x14ac:dyDescent="0.25">
      <c r="A815" s="7" t="s">
        <v>905</v>
      </c>
      <c r="B815" s="4">
        <v>45536</v>
      </c>
      <c r="C815" s="3" t="s">
        <v>54</v>
      </c>
      <c r="D815" s="3" t="s">
        <v>55</v>
      </c>
      <c r="E815" s="3" t="s">
        <v>400</v>
      </c>
      <c r="F815" s="5">
        <v>1684.07</v>
      </c>
      <c r="G815" s="3" t="s">
        <v>27</v>
      </c>
      <c r="H815" s="3" t="s">
        <v>14</v>
      </c>
      <c r="I815" s="8">
        <f t="shared" si="12"/>
        <v>45536</v>
      </c>
    </row>
    <row r="816" spans="1:9" x14ac:dyDescent="0.25">
      <c r="A816" s="7" t="s">
        <v>906</v>
      </c>
      <c r="B816" s="4">
        <v>45536</v>
      </c>
      <c r="C816" s="3" t="s">
        <v>10</v>
      </c>
      <c r="D816" s="3" t="s">
        <v>30</v>
      </c>
      <c r="E816" s="3" t="s">
        <v>34</v>
      </c>
      <c r="F816" s="5">
        <v>146.38999999999999</v>
      </c>
      <c r="G816" s="3" t="s">
        <v>52</v>
      </c>
      <c r="H816" s="3" t="s">
        <v>14</v>
      </c>
      <c r="I816" s="8">
        <f t="shared" si="12"/>
        <v>45536</v>
      </c>
    </row>
    <row r="817" spans="1:9" x14ac:dyDescent="0.25">
      <c r="A817" s="7" t="s">
        <v>907</v>
      </c>
      <c r="B817" s="4">
        <v>45536</v>
      </c>
      <c r="C817" s="3" t="s">
        <v>33</v>
      </c>
      <c r="D817" s="3" t="s">
        <v>11</v>
      </c>
      <c r="E817" s="3" t="s">
        <v>12</v>
      </c>
      <c r="F817" s="5">
        <v>15000</v>
      </c>
      <c r="G817" s="3" t="s">
        <v>13</v>
      </c>
      <c r="H817" s="3" t="s">
        <v>14</v>
      </c>
      <c r="I817" s="8">
        <f t="shared" si="12"/>
        <v>45536</v>
      </c>
    </row>
    <row r="818" spans="1:9" x14ac:dyDescent="0.25">
      <c r="A818" s="7" t="s">
        <v>908</v>
      </c>
      <c r="B818" s="4">
        <v>45537</v>
      </c>
      <c r="C818" s="3" t="s">
        <v>54</v>
      </c>
      <c r="D818" s="3" t="s">
        <v>22</v>
      </c>
      <c r="E818" s="3" t="s">
        <v>93</v>
      </c>
      <c r="F818" s="5">
        <v>1090.01</v>
      </c>
      <c r="G818" s="3" t="s">
        <v>27</v>
      </c>
      <c r="H818" s="3" t="s">
        <v>14</v>
      </c>
      <c r="I818" s="8">
        <f t="shared" si="12"/>
        <v>45536</v>
      </c>
    </row>
    <row r="819" spans="1:9" x14ac:dyDescent="0.25">
      <c r="A819" s="7" t="s">
        <v>909</v>
      </c>
      <c r="B819" s="4">
        <v>45537</v>
      </c>
      <c r="C819" s="3" t="s">
        <v>54</v>
      </c>
      <c r="D819" s="3" t="s">
        <v>36</v>
      </c>
      <c r="E819" s="3" t="s">
        <v>238</v>
      </c>
      <c r="F819" s="5">
        <v>38.93</v>
      </c>
      <c r="G819" s="3" t="s">
        <v>27</v>
      </c>
      <c r="H819" s="3" t="s">
        <v>14</v>
      </c>
      <c r="I819" s="8">
        <f t="shared" si="12"/>
        <v>45536</v>
      </c>
    </row>
    <row r="820" spans="1:9" x14ac:dyDescent="0.25">
      <c r="A820" s="7" t="s">
        <v>910</v>
      </c>
      <c r="B820" s="4">
        <v>45537</v>
      </c>
      <c r="C820" s="3" t="s">
        <v>10</v>
      </c>
      <c r="D820" s="3" t="s">
        <v>82</v>
      </c>
      <c r="E820" s="3" t="s">
        <v>83</v>
      </c>
      <c r="F820" s="5">
        <v>1551.37</v>
      </c>
      <c r="G820" s="3" t="s">
        <v>13</v>
      </c>
      <c r="H820" s="3" t="s">
        <v>14</v>
      </c>
      <c r="I820" s="8">
        <f t="shared" si="12"/>
        <v>45536</v>
      </c>
    </row>
    <row r="821" spans="1:9" x14ac:dyDescent="0.25">
      <c r="A821" s="7" t="s">
        <v>911</v>
      </c>
      <c r="B821" s="4">
        <v>45537</v>
      </c>
      <c r="C821" s="3" t="s">
        <v>54</v>
      </c>
      <c r="D821" s="3" t="s">
        <v>40</v>
      </c>
      <c r="E821" s="3" t="s">
        <v>105</v>
      </c>
      <c r="F821" s="5">
        <v>450.67</v>
      </c>
      <c r="G821" s="3" t="s">
        <v>27</v>
      </c>
      <c r="H821" s="3" t="s">
        <v>14</v>
      </c>
      <c r="I821" s="8">
        <f t="shared" si="12"/>
        <v>45536</v>
      </c>
    </row>
    <row r="822" spans="1:9" x14ac:dyDescent="0.25">
      <c r="A822" s="7" t="s">
        <v>912</v>
      </c>
      <c r="B822" s="4">
        <v>45538</v>
      </c>
      <c r="C822" s="3" t="s">
        <v>33</v>
      </c>
      <c r="D822" s="3" t="s">
        <v>30</v>
      </c>
      <c r="E822" s="3" t="s">
        <v>34</v>
      </c>
      <c r="F822" s="5">
        <v>88.79</v>
      </c>
      <c r="G822" s="3" t="s">
        <v>19</v>
      </c>
      <c r="H822" s="3" t="s">
        <v>20</v>
      </c>
      <c r="I822" s="8">
        <f t="shared" si="12"/>
        <v>45536</v>
      </c>
    </row>
    <row r="823" spans="1:9" x14ac:dyDescent="0.25">
      <c r="A823" s="7" t="s">
        <v>913</v>
      </c>
      <c r="B823" s="4">
        <v>45538</v>
      </c>
      <c r="C823" s="3" t="s">
        <v>22</v>
      </c>
      <c r="D823" s="3" t="s">
        <v>30</v>
      </c>
      <c r="E823" s="3" t="s">
        <v>60</v>
      </c>
      <c r="F823" s="5">
        <v>265.72000000000003</v>
      </c>
      <c r="G823" s="3" t="s">
        <v>24</v>
      </c>
      <c r="H823" s="3" t="s">
        <v>14</v>
      </c>
      <c r="I823" s="8">
        <f t="shared" si="12"/>
        <v>45536</v>
      </c>
    </row>
    <row r="824" spans="1:9" x14ac:dyDescent="0.25">
      <c r="A824" s="7" t="s">
        <v>914</v>
      </c>
      <c r="B824" s="4">
        <v>45538</v>
      </c>
      <c r="C824" s="3" t="s">
        <v>54</v>
      </c>
      <c r="D824" s="3" t="s">
        <v>114</v>
      </c>
      <c r="E824" s="3" t="s">
        <v>117</v>
      </c>
      <c r="F824" s="5">
        <v>1197.71</v>
      </c>
      <c r="G824" s="3" t="s">
        <v>19</v>
      </c>
      <c r="H824" s="3" t="s">
        <v>14</v>
      </c>
      <c r="I824" s="8">
        <f t="shared" si="12"/>
        <v>45536</v>
      </c>
    </row>
    <row r="825" spans="1:9" x14ac:dyDescent="0.25">
      <c r="A825" s="7" t="s">
        <v>915</v>
      </c>
      <c r="B825" s="4">
        <v>45538</v>
      </c>
      <c r="C825" s="3" t="s">
        <v>54</v>
      </c>
      <c r="D825" s="3" t="s">
        <v>17</v>
      </c>
      <c r="E825" s="3" t="s">
        <v>171</v>
      </c>
      <c r="F825" s="5">
        <v>1047.6199999999999</v>
      </c>
      <c r="G825" s="3" t="s">
        <v>24</v>
      </c>
      <c r="H825" s="3" t="s">
        <v>20</v>
      </c>
      <c r="I825" s="8">
        <f t="shared" si="12"/>
        <v>45536</v>
      </c>
    </row>
    <row r="826" spans="1:9" x14ac:dyDescent="0.25">
      <c r="A826" s="7" t="s">
        <v>916</v>
      </c>
      <c r="B826" s="4">
        <v>45538</v>
      </c>
      <c r="C826" s="3" t="s">
        <v>39</v>
      </c>
      <c r="D826" s="3" t="s">
        <v>22</v>
      </c>
      <c r="E826" s="3" t="s">
        <v>175</v>
      </c>
      <c r="F826" s="5">
        <v>175.62</v>
      </c>
      <c r="G826" s="3" t="s">
        <v>27</v>
      </c>
      <c r="H826" s="3" t="s">
        <v>14</v>
      </c>
      <c r="I826" s="8">
        <f t="shared" si="12"/>
        <v>45536</v>
      </c>
    </row>
    <row r="827" spans="1:9" x14ac:dyDescent="0.25">
      <c r="A827" s="7" t="s">
        <v>917</v>
      </c>
      <c r="B827" s="4">
        <v>45538</v>
      </c>
      <c r="C827" s="3" t="s">
        <v>33</v>
      </c>
      <c r="D827" s="3" t="s">
        <v>30</v>
      </c>
      <c r="E827" s="3" t="s">
        <v>65</v>
      </c>
      <c r="F827" s="5">
        <v>239.27</v>
      </c>
      <c r="G827" s="3" t="s">
        <v>52</v>
      </c>
      <c r="H827" s="3" t="s">
        <v>14</v>
      </c>
      <c r="I827" s="8">
        <f t="shared" si="12"/>
        <v>45536</v>
      </c>
    </row>
    <row r="828" spans="1:9" x14ac:dyDescent="0.25">
      <c r="A828" s="7" t="s">
        <v>918</v>
      </c>
      <c r="B828" s="4">
        <v>45539</v>
      </c>
      <c r="C828" s="3" t="s">
        <v>16</v>
      </c>
      <c r="D828" s="3" t="s">
        <v>50</v>
      </c>
      <c r="E828" s="3" t="s">
        <v>62</v>
      </c>
      <c r="F828" s="5">
        <v>89.62</v>
      </c>
      <c r="G828" s="3" t="s">
        <v>24</v>
      </c>
      <c r="H828" s="3" t="s">
        <v>14</v>
      </c>
      <c r="I828" s="8">
        <f t="shared" si="12"/>
        <v>45536</v>
      </c>
    </row>
    <row r="829" spans="1:9" x14ac:dyDescent="0.25">
      <c r="A829" s="7" t="s">
        <v>919</v>
      </c>
      <c r="B829" s="4">
        <v>45539</v>
      </c>
      <c r="C829" s="3" t="s">
        <v>16</v>
      </c>
      <c r="D829" s="3" t="s">
        <v>43</v>
      </c>
      <c r="E829" s="3" t="s">
        <v>85</v>
      </c>
      <c r="F829" s="5">
        <v>168.04</v>
      </c>
      <c r="G829" s="3" t="s">
        <v>86</v>
      </c>
      <c r="H829" s="3" t="s">
        <v>20</v>
      </c>
      <c r="I829" s="8">
        <f t="shared" si="12"/>
        <v>45536</v>
      </c>
    </row>
    <row r="830" spans="1:9" x14ac:dyDescent="0.25">
      <c r="A830" s="7" t="s">
        <v>920</v>
      </c>
      <c r="B830" s="4">
        <v>45539</v>
      </c>
      <c r="C830" s="3" t="s">
        <v>16</v>
      </c>
      <c r="D830" s="3" t="s">
        <v>82</v>
      </c>
      <c r="E830" s="3" t="s">
        <v>103</v>
      </c>
      <c r="F830" s="5">
        <v>2645.95</v>
      </c>
      <c r="G830" s="3" t="s">
        <v>27</v>
      </c>
      <c r="H830" s="3" t="s">
        <v>20</v>
      </c>
      <c r="I830" s="8">
        <f t="shared" si="12"/>
        <v>45536</v>
      </c>
    </row>
    <row r="831" spans="1:9" x14ac:dyDescent="0.25">
      <c r="A831" s="7" t="s">
        <v>921</v>
      </c>
      <c r="B831" s="4">
        <v>45540</v>
      </c>
      <c r="C831" s="3" t="s">
        <v>39</v>
      </c>
      <c r="D831" s="3" t="s">
        <v>17</v>
      </c>
      <c r="E831" s="3" t="s">
        <v>154</v>
      </c>
      <c r="F831" s="5">
        <v>786.44</v>
      </c>
      <c r="G831" s="3" t="s">
        <v>24</v>
      </c>
      <c r="H831" s="3" t="s">
        <v>14</v>
      </c>
      <c r="I831" s="8">
        <f t="shared" si="12"/>
        <v>45536</v>
      </c>
    </row>
    <row r="832" spans="1:9" x14ac:dyDescent="0.25">
      <c r="A832" s="7" t="s">
        <v>922</v>
      </c>
      <c r="B832" s="4">
        <v>45540</v>
      </c>
      <c r="C832" s="3" t="s">
        <v>16</v>
      </c>
      <c r="D832" s="3" t="s">
        <v>36</v>
      </c>
      <c r="E832" s="3" t="s">
        <v>150</v>
      </c>
      <c r="F832" s="5">
        <v>29.27</v>
      </c>
      <c r="G832" s="3" t="s">
        <v>19</v>
      </c>
      <c r="H832" s="3" t="s">
        <v>14</v>
      </c>
      <c r="I832" s="8">
        <f t="shared" si="12"/>
        <v>45536</v>
      </c>
    </row>
    <row r="833" spans="1:9" x14ac:dyDescent="0.25">
      <c r="A833" s="7" t="s">
        <v>923</v>
      </c>
      <c r="B833" s="4">
        <v>45540</v>
      </c>
      <c r="C833" s="3" t="s">
        <v>10</v>
      </c>
      <c r="D833" s="3" t="s">
        <v>40</v>
      </c>
      <c r="E833" s="3" t="s">
        <v>182</v>
      </c>
      <c r="F833" s="5">
        <v>562.61</v>
      </c>
      <c r="G833" s="3" t="s">
        <v>19</v>
      </c>
      <c r="H833" s="3" t="s">
        <v>14</v>
      </c>
      <c r="I833" s="8">
        <f t="shared" si="12"/>
        <v>45536</v>
      </c>
    </row>
    <row r="834" spans="1:9" x14ac:dyDescent="0.25">
      <c r="A834" s="7" t="s">
        <v>924</v>
      </c>
      <c r="B834" s="4">
        <v>45540</v>
      </c>
      <c r="C834" s="3" t="s">
        <v>49</v>
      </c>
      <c r="D834" s="3" t="s">
        <v>50</v>
      </c>
      <c r="E834" s="3" t="s">
        <v>166</v>
      </c>
      <c r="F834" s="5">
        <v>109.98</v>
      </c>
      <c r="G834" s="3" t="s">
        <v>24</v>
      </c>
      <c r="H834" s="3" t="s">
        <v>14</v>
      </c>
      <c r="I834" s="8">
        <f t="shared" si="12"/>
        <v>45536</v>
      </c>
    </row>
    <row r="835" spans="1:9" x14ac:dyDescent="0.25">
      <c r="A835" s="7" t="s">
        <v>925</v>
      </c>
      <c r="B835" s="4">
        <v>45541</v>
      </c>
      <c r="C835" s="3" t="s">
        <v>10</v>
      </c>
      <c r="D835" s="3" t="s">
        <v>43</v>
      </c>
      <c r="E835" s="3" t="s">
        <v>336</v>
      </c>
      <c r="F835" s="5">
        <v>73.22</v>
      </c>
      <c r="G835" s="3" t="s">
        <v>13</v>
      </c>
      <c r="H835" s="3" t="s">
        <v>14</v>
      </c>
      <c r="I835" s="8">
        <f t="shared" si="12"/>
        <v>45536</v>
      </c>
    </row>
    <row r="836" spans="1:9" x14ac:dyDescent="0.25">
      <c r="A836" s="7" t="s">
        <v>926</v>
      </c>
      <c r="B836" s="4">
        <v>45541</v>
      </c>
      <c r="C836" s="3" t="s">
        <v>33</v>
      </c>
      <c r="D836" s="3" t="s">
        <v>50</v>
      </c>
      <c r="E836" s="3" t="s">
        <v>62</v>
      </c>
      <c r="F836" s="5">
        <v>51.76</v>
      </c>
      <c r="G836" s="3" t="s">
        <v>52</v>
      </c>
      <c r="H836" s="3" t="s">
        <v>14</v>
      </c>
      <c r="I836" s="8">
        <f t="shared" si="12"/>
        <v>45536</v>
      </c>
    </row>
    <row r="837" spans="1:9" x14ac:dyDescent="0.25">
      <c r="A837" s="7" t="s">
        <v>927</v>
      </c>
      <c r="B837" s="4">
        <v>45541</v>
      </c>
      <c r="C837" s="3" t="s">
        <v>10</v>
      </c>
      <c r="D837" s="3" t="s">
        <v>22</v>
      </c>
      <c r="E837" s="3" t="s">
        <v>93</v>
      </c>
      <c r="F837" s="5">
        <v>1968.64</v>
      </c>
      <c r="G837" s="3" t="s">
        <v>27</v>
      </c>
      <c r="H837" s="3" t="s">
        <v>14</v>
      </c>
      <c r="I837" s="8">
        <f t="shared" ref="I837:I900" si="13">DATE(YEAR(B837),MONTH(B837),1)</f>
        <v>45536</v>
      </c>
    </row>
    <row r="838" spans="1:9" x14ac:dyDescent="0.25">
      <c r="A838" s="7" t="s">
        <v>928</v>
      </c>
      <c r="B838" s="4">
        <v>45541</v>
      </c>
      <c r="C838" s="3" t="s">
        <v>49</v>
      </c>
      <c r="D838" s="3" t="s">
        <v>55</v>
      </c>
      <c r="E838" s="3" t="s">
        <v>95</v>
      </c>
      <c r="F838" s="5">
        <v>582.15</v>
      </c>
      <c r="G838" s="3" t="s">
        <v>19</v>
      </c>
      <c r="H838" s="3" t="s">
        <v>14</v>
      </c>
      <c r="I838" s="8">
        <f t="shared" si="13"/>
        <v>45536</v>
      </c>
    </row>
    <row r="839" spans="1:9" x14ac:dyDescent="0.25">
      <c r="A839" s="7" t="s">
        <v>929</v>
      </c>
      <c r="B839" s="4">
        <v>45542</v>
      </c>
      <c r="C839" s="3" t="s">
        <v>22</v>
      </c>
      <c r="D839" s="3" t="s">
        <v>40</v>
      </c>
      <c r="E839" s="3" t="s">
        <v>130</v>
      </c>
      <c r="F839" s="5">
        <v>265.35000000000002</v>
      </c>
      <c r="G839" s="3" t="s">
        <v>27</v>
      </c>
      <c r="H839" s="3" t="s">
        <v>14</v>
      </c>
      <c r="I839" s="8">
        <f t="shared" si="13"/>
        <v>45536</v>
      </c>
    </row>
    <row r="840" spans="1:9" x14ac:dyDescent="0.25">
      <c r="A840" s="7" t="s">
        <v>930</v>
      </c>
      <c r="B840" s="4">
        <v>45542</v>
      </c>
      <c r="C840" s="3" t="s">
        <v>10</v>
      </c>
      <c r="D840" s="3" t="s">
        <v>17</v>
      </c>
      <c r="E840" s="3" t="s">
        <v>136</v>
      </c>
      <c r="F840" s="5">
        <v>443.91</v>
      </c>
      <c r="G840" s="3" t="s">
        <v>19</v>
      </c>
      <c r="H840" s="3" t="s">
        <v>14</v>
      </c>
      <c r="I840" s="8">
        <f t="shared" si="13"/>
        <v>45536</v>
      </c>
    </row>
    <row r="841" spans="1:9" x14ac:dyDescent="0.25">
      <c r="A841" s="7" t="s">
        <v>931</v>
      </c>
      <c r="B841" s="4">
        <v>45543</v>
      </c>
      <c r="C841" s="3" t="s">
        <v>33</v>
      </c>
      <c r="D841" s="3" t="s">
        <v>40</v>
      </c>
      <c r="E841" s="3" t="s">
        <v>138</v>
      </c>
      <c r="F841" s="5">
        <v>245.56</v>
      </c>
      <c r="G841" s="3" t="s">
        <v>19</v>
      </c>
      <c r="H841" s="3" t="s">
        <v>14</v>
      </c>
      <c r="I841" s="8">
        <f t="shared" si="13"/>
        <v>45536</v>
      </c>
    </row>
    <row r="842" spans="1:9" x14ac:dyDescent="0.25">
      <c r="A842" s="7" t="s">
        <v>932</v>
      </c>
      <c r="B842" s="4">
        <v>45543</v>
      </c>
      <c r="C842" s="3" t="s">
        <v>22</v>
      </c>
      <c r="D842" s="3" t="s">
        <v>50</v>
      </c>
      <c r="E842" s="3" t="s">
        <v>62</v>
      </c>
      <c r="F842" s="5">
        <v>37.090000000000003</v>
      </c>
      <c r="G842" s="3" t="s">
        <v>24</v>
      </c>
      <c r="H842" s="3" t="s">
        <v>14</v>
      </c>
      <c r="I842" s="8">
        <f t="shared" si="13"/>
        <v>45536</v>
      </c>
    </row>
    <row r="843" spans="1:9" x14ac:dyDescent="0.25">
      <c r="A843" s="7" t="s">
        <v>933</v>
      </c>
      <c r="B843" s="4">
        <v>45543</v>
      </c>
      <c r="C843" s="3" t="s">
        <v>10</v>
      </c>
      <c r="D843" s="3" t="s">
        <v>17</v>
      </c>
      <c r="E843" s="3" t="s">
        <v>154</v>
      </c>
      <c r="F843" s="5">
        <v>675.28</v>
      </c>
      <c r="G843" s="3" t="s">
        <v>24</v>
      </c>
      <c r="H843" s="3" t="s">
        <v>14</v>
      </c>
      <c r="I843" s="8">
        <f t="shared" si="13"/>
        <v>45536</v>
      </c>
    </row>
    <row r="844" spans="1:9" x14ac:dyDescent="0.25">
      <c r="A844" s="7" t="s">
        <v>934</v>
      </c>
      <c r="B844" s="4">
        <v>45543</v>
      </c>
      <c r="C844" s="3" t="s">
        <v>33</v>
      </c>
      <c r="D844" s="3" t="s">
        <v>82</v>
      </c>
      <c r="E844" s="3" t="s">
        <v>103</v>
      </c>
      <c r="F844" s="5">
        <v>2892.1</v>
      </c>
      <c r="G844" s="3" t="s">
        <v>13</v>
      </c>
      <c r="H844" s="3" t="s">
        <v>14</v>
      </c>
      <c r="I844" s="8">
        <f t="shared" si="13"/>
        <v>45536</v>
      </c>
    </row>
    <row r="845" spans="1:9" x14ac:dyDescent="0.25">
      <c r="A845" s="7" t="s">
        <v>935</v>
      </c>
      <c r="B845" s="4">
        <v>45544</v>
      </c>
      <c r="C845" s="3" t="s">
        <v>29</v>
      </c>
      <c r="D845" s="3" t="s">
        <v>46</v>
      </c>
      <c r="E845" s="3" t="s">
        <v>187</v>
      </c>
      <c r="F845" s="5">
        <v>545.35</v>
      </c>
      <c r="G845" s="3" t="s">
        <v>13</v>
      </c>
      <c r="H845" s="3" t="s">
        <v>14</v>
      </c>
      <c r="I845" s="8">
        <f t="shared" si="13"/>
        <v>45536</v>
      </c>
    </row>
    <row r="846" spans="1:9" x14ac:dyDescent="0.25">
      <c r="A846" s="7" t="s">
        <v>936</v>
      </c>
      <c r="B846" s="4">
        <v>45544</v>
      </c>
      <c r="C846" s="3" t="s">
        <v>49</v>
      </c>
      <c r="D846" s="3" t="s">
        <v>50</v>
      </c>
      <c r="E846" s="3" t="s">
        <v>166</v>
      </c>
      <c r="F846" s="5">
        <v>126.36</v>
      </c>
      <c r="G846" s="3" t="s">
        <v>24</v>
      </c>
      <c r="H846" s="3" t="s">
        <v>14</v>
      </c>
      <c r="I846" s="8">
        <f t="shared" si="13"/>
        <v>45536</v>
      </c>
    </row>
    <row r="847" spans="1:9" x14ac:dyDescent="0.25">
      <c r="A847" s="7" t="s">
        <v>937</v>
      </c>
      <c r="B847" s="4">
        <v>45544</v>
      </c>
      <c r="C847" s="3" t="s">
        <v>22</v>
      </c>
      <c r="D847" s="3" t="s">
        <v>30</v>
      </c>
      <c r="E847" s="3" t="s">
        <v>185</v>
      </c>
      <c r="F847" s="5">
        <v>260.86</v>
      </c>
      <c r="G847" s="3" t="s">
        <v>24</v>
      </c>
      <c r="H847" s="3" t="s">
        <v>14</v>
      </c>
      <c r="I847" s="8">
        <f t="shared" si="13"/>
        <v>45536</v>
      </c>
    </row>
    <row r="848" spans="1:9" x14ac:dyDescent="0.25">
      <c r="A848" s="7" t="s">
        <v>938</v>
      </c>
      <c r="B848" s="4">
        <v>45545</v>
      </c>
      <c r="C848" s="3" t="s">
        <v>54</v>
      </c>
      <c r="D848" s="3" t="s">
        <v>43</v>
      </c>
      <c r="E848" s="3" t="s">
        <v>78</v>
      </c>
      <c r="F848" s="5">
        <v>285.37</v>
      </c>
      <c r="G848" s="3" t="s">
        <v>86</v>
      </c>
      <c r="H848" s="3" t="s">
        <v>20</v>
      </c>
      <c r="I848" s="8">
        <f t="shared" si="13"/>
        <v>45536</v>
      </c>
    </row>
    <row r="849" spans="1:9" x14ac:dyDescent="0.25">
      <c r="A849" s="7" t="s">
        <v>939</v>
      </c>
      <c r="B849" s="4">
        <v>45545</v>
      </c>
      <c r="C849" s="3" t="s">
        <v>10</v>
      </c>
      <c r="D849" s="3" t="s">
        <v>50</v>
      </c>
      <c r="E849" s="3" t="s">
        <v>51</v>
      </c>
      <c r="F849" s="5">
        <v>140.63999999999999</v>
      </c>
      <c r="G849" s="3" t="s">
        <v>24</v>
      </c>
      <c r="H849" s="3" t="s">
        <v>14</v>
      </c>
      <c r="I849" s="8">
        <f t="shared" si="13"/>
        <v>45536</v>
      </c>
    </row>
    <row r="850" spans="1:9" x14ac:dyDescent="0.25">
      <c r="A850" s="7" t="s">
        <v>940</v>
      </c>
      <c r="B850" s="4">
        <v>45547</v>
      </c>
      <c r="C850" s="3" t="s">
        <v>16</v>
      </c>
      <c r="D850" s="3" t="s">
        <v>36</v>
      </c>
      <c r="E850" s="3" t="s">
        <v>145</v>
      </c>
      <c r="F850" s="5">
        <v>116.18</v>
      </c>
      <c r="G850" s="3" t="s">
        <v>27</v>
      </c>
      <c r="H850" s="3" t="s">
        <v>14</v>
      </c>
      <c r="I850" s="8">
        <f t="shared" si="13"/>
        <v>45536</v>
      </c>
    </row>
    <row r="851" spans="1:9" x14ac:dyDescent="0.25">
      <c r="A851" s="7" t="s">
        <v>941</v>
      </c>
      <c r="B851" s="4">
        <v>45547</v>
      </c>
      <c r="C851" s="3" t="s">
        <v>16</v>
      </c>
      <c r="D851" s="3" t="s">
        <v>82</v>
      </c>
      <c r="E851" s="3" t="s">
        <v>83</v>
      </c>
      <c r="F851" s="5">
        <v>2163.5100000000002</v>
      </c>
      <c r="G851" s="3" t="s">
        <v>27</v>
      </c>
      <c r="H851" s="3" t="s">
        <v>14</v>
      </c>
      <c r="I851" s="8">
        <f t="shared" si="13"/>
        <v>45536</v>
      </c>
    </row>
    <row r="852" spans="1:9" x14ac:dyDescent="0.25">
      <c r="A852" s="7" t="s">
        <v>942</v>
      </c>
      <c r="B852" s="4">
        <v>45547</v>
      </c>
      <c r="C852" s="3" t="s">
        <v>33</v>
      </c>
      <c r="D852" s="3" t="s">
        <v>30</v>
      </c>
      <c r="E852" s="3" t="s">
        <v>31</v>
      </c>
      <c r="F852" s="5">
        <v>68.86</v>
      </c>
      <c r="G852" s="3" t="s">
        <v>19</v>
      </c>
      <c r="H852" s="3" t="s">
        <v>20</v>
      </c>
      <c r="I852" s="8">
        <f t="shared" si="13"/>
        <v>45536</v>
      </c>
    </row>
    <row r="853" spans="1:9" x14ac:dyDescent="0.25">
      <c r="A853" s="7" t="s">
        <v>943</v>
      </c>
      <c r="B853" s="4">
        <v>45547</v>
      </c>
      <c r="C853" s="3" t="s">
        <v>29</v>
      </c>
      <c r="D853" s="3" t="s">
        <v>17</v>
      </c>
      <c r="E853" s="3" t="s">
        <v>80</v>
      </c>
      <c r="F853" s="5">
        <v>1024.1600000000001</v>
      </c>
      <c r="G853" s="3" t="s">
        <v>19</v>
      </c>
      <c r="H853" s="3" t="s">
        <v>14</v>
      </c>
      <c r="I853" s="8">
        <f t="shared" si="13"/>
        <v>45536</v>
      </c>
    </row>
    <row r="854" spans="1:9" x14ac:dyDescent="0.25">
      <c r="A854" s="7" t="s">
        <v>944</v>
      </c>
      <c r="B854" s="4">
        <v>45548</v>
      </c>
      <c r="C854" s="3" t="s">
        <v>16</v>
      </c>
      <c r="D854" s="3" t="s">
        <v>46</v>
      </c>
      <c r="E854" s="3" t="s">
        <v>187</v>
      </c>
      <c r="F854" s="5">
        <v>426.25</v>
      </c>
      <c r="G854" s="3" t="s">
        <v>13</v>
      </c>
      <c r="H854" s="3" t="s">
        <v>14</v>
      </c>
      <c r="I854" s="8">
        <f t="shared" si="13"/>
        <v>45536</v>
      </c>
    </row>
    <row r="855" spans="1:9" x14ac:dyDescent="0.25">
      <c r="A855" s="7" t="s">
        <v>945</v>
      </c>
      <c r="B855" s="4">
        <v>45548</v>
      </c>
      <c r="C855" s="3" t="s">
        <v>29</v>
      </c>
      <c r="D855" s="3" t="s">
        <v>114</v>
      </c>
      <c r="E855" s="3" t="s">
        <v>199</v>
      </c>
      <c r="F855" s="5">
        <v>629.26</v>
      </c>
      <c r="G855" s="3" t="s">
        <v>24</v>
      </c>
      <c r="H855" s="3" t="s">
        <v>14</v>
      </c>
      <c r="I855" s="8">
        <f t="shared" si="13"/>
        <v>45536</v>
      </c>
    </row>
    <row r="856" spans="1:9" x14ac:dyDescent="0.25">
      <c r="A856" s="7" t="s">
        <v>946</v>
      </c>
      <c r="B856" s="4">
        <v>45549</v>
      </c>
      <c r="C856" s="3" t="s">
        <v>33</v>
      </c>
      <c r="D856" s="3" t="s">
        <v>50</v>
      </c>
      <c r="E856" s="3" t="s">
        <v>166</v>
      </c>
      <c r="F856" s="5">
        <v>32.04</v>
      </c>
      <c r="G856" s="3" t="s">
        <v>24</v>
      </c>
      <c r="H856" s="3" t="s">
        <v>14</v>
      </c>
      <c r="I856" s="8">
        <f t="shared" si="13"/>
        <v>45536</v>
      </c>
    </row>
    <row r="857" spans="1:9" x14ac:dyDescent="0.25">
      <c r="A857" s="7" t="s">
        <v>947</v>
      </c>
      <c r="B857" s="4">
        <v>45549</v>
      </c>
      <c r="C857" s="3" t="s">
        <v>29</v>
      </c>
      <c r="D857" s="3" t="s">
        <v>46</v>
      </c>
      <c r="E857" s="3" t="s">
        <v>47</v>
      </c>
      <c r="F857" s="5">
        <v>462.36</v>
      </c>
      <c r="G857" s="3" t="s">
        <v>13</v>
      </c>
      <c r="H857" s="3" t="s">
        <v>20</v>
      </c>
      <c r="I857" s="8">
        <f t="shared" si="13"/>
        <v>45536</v>
      </c>
    </row>
    <row r="858" spans="1:9" x14ac:dyDescent="0.25">
      <c r="A858" s="7" t="s">
        <v>948</v>
      </c>
      <c r="B858" s="4">
        <v>45550</v>
      </c>
      <c r="C858" s="3" t="s">
        <v>54</v>
      </c>
      <c r="D858" s="3" t="s">
        <v>22</v>
      </c>
      <c r="E858" s="3" t="s">
        <v>97</v>
      </c>
      <c r="F858" s="5">
        <v>996.53</v>
      </c>
      <c r="G858" s="3" t="s">
        <v>19</v>
      </c>
      <c r="H858" s="3" t="s">
        <v>14</v>
      </c>
      <c r="I858" s="8">
        <f t="shared" si="13"/>
        <v>45536</v>
      </c>
    </row>
    <row r="859" spans="1:9" x14ac:dyDescent="0.25">
      <c r="A859" s="7" t="s">
        <v>949</v>
      </c>
      <c r="B859" s="4">
        <v>45550</v>
      </c>
      <c r="C859" s="3" t="s">
        <v>49</v>
      </c>
      <c r="D859" s="3" t="s">
        <v>30</v>
      </c>
      <c r="E859" s="3" t="s">
        <v>185</v>
      </c>
      <c r="F859" s="5">
        <v>349.41</v>
      </c>
      <c r="G859" s="3" t="s">
        <v>24</v>
      </c>
      <c r="H859" s="3" t="s">
        <v>14</v>
      </c>
      <c r="I859" s="8">
        <f t="shared" si="13"/>
        <v>45536</v>
      </c>
    </row>
    <row r="860" spans="1:9" x14ac:dyDescent="0.25">
      <c r="A860" s="7" t="s">
        <v>950</v>
      </c>
      <c r="B860" s="4">
        <v>45551</v>
      </c>
      <c r="C860" s="3" t="s">
        <v>49</v>
      </c>
      <c r="D860" s="3" t="s">
        <v>50</v>
      </c>
      <c r="E860" s="3" t="s">
        <v>51</v>
      </c>
      <c r="F860" s="5">
        <v>75.02</v>
      </c>
      <c r="G860" s="3" t="s">
        <v>52</v>
      </c>
      <c r="H860" s="3" t="s">
        <v>20</v>
      </c>
      <c r="I860" s="8">
        <f t="shared" si="13"/>
        <v>45536</v>
      </c>
    </row>
    <row r="861" spans="1:9" x14ac:dyDescent="0.25">
      <c r="A861" s="7" t="s">
        <v>951</v>
      </c>
      <c r="B861" s="4">
        <v>45551</v>
      </c>
      <c r="C861" s="3" t="s">
        <v>49</v>
      </c>
      <c r="D861" s="3" t="s">
        <v>22</v>
      </c>
      <c r="E861" s="3" t="s">
        <v>175</v>
      </c>
      <c r="F861" s="5">
        <v>1674.43</v>
      </c>
      <c r="G861" s="3" t="s">
        <v>27</v>
      </c>
      <c r="H861" s="3" t="s">
        <v>20</v>
      </c>
      <c r="I861" s="8">
        <f t="shared" si="13"/>
        <v>45536</v>
      </c>
    </row>
    <row r="862" spans="1:9" x14ac:dyDescent="0.25">
      <c r="A862" s="7" t="s">
        <v>952</v>
      </c>
      <c r="B862" s="4">
        <v>45551</v>
      </c>
      <c r="C862" s="3" t="s">
        <v>22</v>
      </c>
      <c r="D862" s="3" t="s">
        <v>17</v>
      </c>
      <c r="E862" s="3" t="s">
        <v>136</v>
      </c>
      <c r="F862" s="5">
        <v>1385.49</v>
      </c>
      <c r="G862" s="3" t="s">
        <v>24</v>
      </c>
      <c r="H862" s="3" t="s">
        <v>14</v>
      </c>
      <c r="I862" s="8">
        <f t="shared" si="13"/>
        <v>45536</v>
      </c>
    </row>
    <row r="863" spans="1:9" x14ac:dyDescent="0.25">
      <c r="A863" s="7" t="s">
        <v>953</v>
      </c>
      <c r="B863" s="4">
        <v>45551</v>
      </c>
      <c r="C863" s="3" t="s">
        <v>10</v>
      </c>
      <c r="D863" s="3" t="s">
        <v>114</v>
      </c>
      <c r="E863" s="3" t="s">
        <v>199</v>
      </c>
      <c r="F863" s="5">
        <v>247.31</v>
      </c>
      <c r="G863" s="3" t="s">
        <v>24</v>
      </c>
      <c r="H863" s="3" t="s">
        <v>14</v>
      </c>
      <c r="I863" s="8">
        <f t="shared" si="13"/>
        <v>45536</v>
      </c>
    </row>
    <row r="864" spans="1:9" x14ac:dyDescent="0.25">
      <c r="A864" s="7" t="s">
        <v>954</v>
      </c>
      <c r="B864" s="4">
        <v>45552</v>
      </c>
      <c r="C864" s="3" t="s">
        <v>16</v>
      </c>
      <c r="D864" s="3" t="s">
        <v>55</v>
      </c>
      <c r="E864" s="3" t="s">
        <v>400</v>
      </c>
      <c r="F864" s="5">
        <v>1766.18</v>
      </c>
      <c r="G864" s="3" t="s">
        <v>19</v>
      </c>
      <c r="H864" s="3" t="s">
        <v>14</v>
      </c>
      <c r="I864" s="8">
        <f t="shared" si="13"/>
        <v>45536</v>
      </c>
    </row>
    <row r="865" spans="1:9" x14ac:dyDescent="0.25">
      <c r="A865" s="7" t="s">
        <v>955</v>
      </c>
      <c r="B865" s="4">
        <v>45552</v>
      </c>
      <c r="C865" s="3" t="s">
        <v>22</v>
      </c>
      <c r="D865" s="3" t="s">
        <v>55</v>
      </c>
      <c r="E865" s="3" t="s">
        <v>162</v>
      </c>
      <c r="F865" s="5">
        <v>656.36</v>
      </c>
      <c r="G865" s="3" t="s">
        <v>27</v>
      </c>
      <c r="H865" s="3" t="s">
        <v>14</v>
      </c>
      <c r="I865" s="8">
        <f t="shared" si="13"/>
        <v>45536</v>
      </c>
    </row>
    <row r="866" spans="1:9" x14ac:dyDescent="0.25">
      <c r="A866" s="7" t="s">
        <v>956</v>
      </c>
      <c r="B866" s="4">
        <v>45552</v>
      </c>
      <c r="C866" s="3" t="s">
        <v>16</v>
      </c>
      <c r="D866" s="3" t="s">
        <v>82</v>
      </c>
      <c r="E866" s="3" t="s">
        <v>83</v>
      </c>
      <c r="F866" s="5">
        <v>2986.31</v>
      </c>
      <c r="G866" s="3" t="s">
        <v>27</v>
      </c>
      <c r="H866" s="3" t="s">
        <v>20</v>
      </c>
      <c r="I866" s="8">
        <f t="shared" si="13"/>
        <v>45536</v>
      </c>
    </row>
    <row r="867" spans="1:9" x14ac:dyDescent="0.25">
      <c r="A867" s="7" t="s">
        <v>957</v>
      </c>
      <c r="B867" s="4">
        <v>45554</v>
      </c>
      <c r="C867" s="3" t="s">
        <v>22</v>
      </c>
      <c r="D867" s="3" t="s">
        <v>17</v>
      </c>
      <c r="E867" s="3" t="s">
        <v>18</v>
      </c>
      <c r="F867" s="5">
        <v>1329.39</v>
      </c>
      <c r="G867" s="3" t="s">
        <v>24</v>
      </c>
      <c r="H867" s="3" t="s">
        <v>14</v>
      </c>
      <c r="I867" s="8">
        <f t="shared" si="13"/>
        <v>45536</v>
      </c>
    </row>
    <row r="868" spans="1:9" x14ac:dyDescent="0.25">
      <c r="A868" s="7" t="s">
        <v>958</v>
      </c>
      <c r="B868" s="4">
        <v>45554</v>
      </c>
      <c r="C868" s="3" t="s">
        <v>10</v>
      </c>
      <c r="D868" s="3" t="s">
        <v>17</v>
      </c>
      <c r="E868" s="3" t="s">
        <v>18</v>
      </c>
      <c r="F868" s="5">
        <v>1474.87</v>
      </c>
      <c r="G868" s="3" t="s">
        <v>24</v>
      </c>
      <c r="H868" s="3" t="s">
        <v>20</v>
      </c>
      <c r="I868" s="8">
        <f t="shared" si="13"/>
        <v>45536</v>
      </c>
    </row>
    <row r="869" spans="1:9" x14ac:dyDescent="0.25">
      <c r="A869" s="7" t="s">
        <v>959</v>
      </c>
      <c r="B869" s="4">
        <v>45554</v>
      </c>
      <c r="C869" s="3" t="s">
        <v>33</v>
      </c>
      <c r="D869" s="3" t="s">
        <v>50</v>
      </c>
      <c r="E869" s="3" t="s">
        <v>62</v>
      </c>
      <c r="F869" s="5">
        <v>91.01</v>
      </c>
      <c r="G869" s="3" t="s">
        <v>24</v>
      </c>
      <c r="H869" s="3" t="s">
        <v>14</v>
      </c>
      <c r="I869" s="8">
        <f t="shared" si="13"/>
        <v>45536</v>
      </c>
    </row>
    <row r="870" spans="1:9" x14ac:dyDescent="0.25">
      <c r="A870" s="7" t="s">
        <v>960</v>
      </c>
      <c r="B870" s="4">
        <v>45554</v>
      </c>
      <c r="C870" s="3" t="s">
        <v>39</v>
      </c>
      <c r="D870" s="3" t="s">
        <v>30</v>
      </c>
      <c r="E870" s="3" t="s">
        <v>169</v>
      </c>
      <c r="F870" s="5">
        <v>227.5</v>
      </c>
      <c r="G870" s="3" t="s">
        <v>24</v>
      </c>
      <c r="H870" s="3" t="s">
        <v>14</v>
      </c>
      <c r="I870" s="8">
        <f t="shared" si="13"/>
        <v>45536</v>
      </c>
    </row>
    <row r="871" spans="1:9" x14ac:dyDescent="0.25">
      <c r="A871" s="7" t="s">
        <v>961</v>
      </c>
      <c r="B871" s="4">
        <v>45554</v>
      </c>
      <c r="C871" s="3" t="s">
        <v>33</v>
      </c>
      <c r="D871" s="3" t="s">
        <v>22</v>
      </c>
      <c r="E871" s="3" t="s">
        <v>75</v>
      </c>
      <c r="F871" s="5">
        <v>1881.02</v>
      </c>
      <c r="G871" s="3" t="s">
        <v>27</v>
      </c>
      <c r="H871" s="3" t="s">
        <v>20</v>
      </c>
      <c r="I871" s="8">
        <f t="shared" si="13"/>
        <v>45536</v>
      </c>
    </row>
    <row r="872" spans="1:9" x14ac:dyDescent="0.25">
      <c r="A872" s="7" t="s">
        <v>962</v>
      </c>
      <c r="B872" s="4">
        <v>45554</v>
      </c>
      <c r="C872" s="3" t="s">
        <v>54</v>
      </c>
      <c r="D872" s="3" t="s">
        <v>22</v>
      </c>
      <c r="E872" s="3" t="s">
        <v>97</v>
      </c>
      <c r="F872" s="5">
        <v>166.85</v>
      </c>
      <c r="G872" s="3" t="s">
        <v>27</v>
      </c>
      <c r="H872" s="3" t="s">
        <v>20</v>
      </c>
      <c r="I872" s="8">
        <f t="shared" si="13"/>
        <v>45536</v>
      </c>
    </row>
    <row r="873" spans="1:9" x14ac:dyDescent="0.25">
      <c r="A873" s="7" t="s">
        <v>963</v>
      </c>
      <c r="B873" s="4">
        <v>45554</v>
      </c>
      <c r="C873" s="3" t="s">
        <v>39</v>
      </c>
      <c r="D873" s="3" t="s">
        <v>17</v>
      </c>
      <c r="E873" s="3" t="s">
        <v>23</v>
      </c>
      <c r="F873" s="5">
        <v>225.84</v>
      </c>
      <c r="G873" s="3" t="s">
        <v>19</v>
      </c>
      <c r="H873" s="3" t="s">
        <v>14</v>
      </c>
      <c r="I873" s="8">
        <f t="shared" si="13"/>
        <v>45536</v>
      </c>
    </row>
    <row r="874" spans="1:9" x14ac:dyDescent="0.25">
      <c r="A874" s="7" t="s">
        <v>964</v>
      </c>
      <c r="B874" s="4">
        <v>45555</v>
      </c>
      <c r="C874" s="3" t="s">
        <v>49</v>
      </c>
      <c r="D874" s="3" t="s">
        <v>46</v>
      </c>
      <c r="E874" s="3" t="s">
        <v>234</v>
      </c>
      <c r="F874" s="5">
        <v>476.97</v>
      </c>
      <c r="G874" s="3" t="s">
        <v>86</v>
      </c>
      <c r="H874" s="3" t="s">
        <v>14</v>
      </c>
      <c r="I874" s="8">
        <f t="shared" si="13"/>
        <v>45536</v>
      </c>
    </row>
    <row r="875" spans="1:9" x14ac:dyDescent="0.25">
      <c r="A875" s="7" t="s">
        <v>965</v>
      </c>
      <c r="B875" s="4">
        <v>45555</v>
      </c>
      <c r="C875" s="3" t="s">
        <v>10</v>
      </c>
      <c r="D875" s="3" t="s">
        <v>17</v>
      </c>
      <c r="E875" s="3" t="s">
        <v>23</v>
      </c>
      <c r="F875" s="5">
        <v>784.25</v>
      </c>
      <c r="G875" s="3" t="s">
        <v>19</v>
      </c>
      <c r="H875" s="3" t="s">
        <v>14</v>
      </c>
      <c r="I875" s="8">
        <f t="shared" si="13"/>
        <v>45536</v>
      </c>
    </row>
    <row r="876" spans="1:9" x14ac:dyDescent="0.25">
      <c r="A876" s="7" t="s">
        <v>966</v>
      </c>
      <c r="B876" s="4">
        <v>45556</v>
      </c>
      <c r="C876" s="3" t="s">
        <v>22</v>
      </c>
      <c r="D876" s="3" t="s">
        <v>30</v>
      </c>
      <c r="E876" s="3" t="s">
        <v>214</v>
      </c>
      <c r="F876" s="5">
        <v>106.64</v>
      </c>
      <c r="G876" s="3" t="s">
        <v>19</v>
      </c>
      <c r="H876" s="3" t="s">
        <v>14</v>
      </c>
      <c r="I876" s="8">
        <f t="shared" si="13"/>
        <v>45536</v>
      </c>
    </row>
    <row r="877" spans="1:9" x14ac:dyDescent="0.25">
      <c r="A877" s="7" t="s">
        <v>967</v>
      </c>
      <c r="B877" s="4">
        <v>45556</v>
      </c>
      <c r="C877" s="3" t="s">
        <v>10</v>
      </c>
      <c r="D877" s="3" t="s">
        <v>50</v>
      </c>
      <c r="E877" s="3" t="s">
        <v>62</v>
      </c>
      <c r="F877" s="5">
        <v>65.83</v>
      </c>
      <c r="G877" s="3" t="s">
        <v>52</v>
      </c>
      <c r="H877" s="3" t="s">
        <v>14</v>
      </c>
      <c r="I877" s="8">
        <f t="shared" si="13"/>
        <v>45536</v>
      </c>
    </row>
    <row r="878" spans="1:9" x14ac:dyDescent="0.25">
      <c r="A878" s="7" t="s">
        <v>968</v>
      </c>
      <c r="B878" s="4">
        <v>45557</v>
      </c>
      <c r="C878" s="3" t="s">
        <v>29</v>
      </c>
      <c r="D878" s="3" t="s">
        <v>30</v>
      </c>
      <c r="E878" s="3" t="s">
        <v>34</v>
      </c>
      <c r="F878" s="5">
        <v>57.03</v>
      </c>
      <c r="G878" s="3" t="s">
        <v>52</v>
      </c>
      <c r="H878" s="3" t="s">
        <v>14</v>
      </c>
      <c r="I878" s="8">
        <f t="shared" si="13"/>
        <v>45536</v>
      </c>
    </row>
    <row r="879" spans="1:9" x14ac:dyDescent="0.25">
      <c r="A879" s="7" t="s">
        <v>969</v>
      </c>
      <c r="B879" s="4">
        <v>45557</v>
      </c>
      <c r="C879" s="3" t="s">
        <v>10</v>
      </c>
      <c r="D879" s="3" t="s">
        <v>17</v>
      </c>
      <c r="E879" s="3" t="s">
        <v>154</v>
      </c>
      <c r="F879" s="5">
        <v>682.6</v>
      </c>
      <c r="G879" s="3" t="s">
        <v>19</v>
      </c>
      <c r="H879" s="3" t="s">
        <v>14</v>
      </c>
      <c r="I879" s="8">
        <f t="shared" si="13"/>
        <v>45536</v>
      </c>
    </row>
    <row r="880" spans="1:9" x14ac:dyDescent="0.25">
      <c r="A880" s="7" t="s">
        <v>970</v>
      </c>
      <c r="B880" s="4">
        <v>45557</v>
      </c>
      <c r="C880" s="3" t="s">
        <v>39</v>
      </c>
      <c r="D880" s="3" t="s">
        <v>55</v>
      </c>
      <c r="E880" s="3" t="s">
        <v>95</v>
      </c>
      <c r="F880" s="5">
        <v>1654.63</v>
      </c>
      <c r="G880" s="3" t="s">
        <v>19</v>
      </c>
      <c r="H880" s="3" t="s">
        <v>14</v>
      </c>
      <c r="I880" s="8">
        <f t="shared" si="13"/>
        <v>45536</v>
      </c>
    </row>
    <row r="881" spans="1:9" x14ac:dyDescent="0.25">
      <c r="A881" s="7" t="s">
        <v>971</v>
      </c>
      <c r="B881" s="4">
        <v>45557</v>
      </c>
      <c r="C881" s="3" t="s">
        <v>49</v>
      </c>
      <c r="D881" s="3" t="s">
        <v>30</v>
      </c>
      <c r="E881" s="3" t="s">
        <v>185</v>
      </c>
      <c r="F881" s="5">
        <v>312.60000000000002</v>
      </c>
      <c r="G881" s="3" t="s">
        <v>52</v>
      </c>
      <c r="H881" s="3" t="s">
        <v>14</v>
      </c>
      <c r="I881" s="8">
        <f t="shared" si="13"/>
        <v>45536</v>
      </c>
    </row>
    <row r="882" spans="1:9" x14ac:dyDescent="0.25">
      <c r="A882" s="7" t="s">
        <v>972</v>
      </c>
      <c r="B882" s="4">
        <v>45558</v>
      </c>
      <c r="C882" s="3" t="s">
        <v>10</v>
      </c>
      <c r="D882" s="3" t="s">
        <v>17</v>
      </c>
      <c r="E882" s="3" t="s">
        <v>18</v>
      </c>
      <c r="F882" s="5">
        <v>194.62</v>
      </c>
      <c r="G882" s="3" t="s">
        <v>24</v>
      </c>
      <c r="H882" s="3" t="s">
        <v>20</v>
      </c>
      <c r="I882" s="8">
        <f t="shared" si="13"/>
        <v>45536</v>
      </c>
    </row>
    <row r="883" spans="1:9" x14ac:dyDescent="0.25">
      <c r="A883" s="7" t="s">
        <v>973</v>
      </c>
      <c r="B883" s="4">
        <v>45558</v>
      </c>
      <c r="C883" s="3" t="s">
        <v>16</v>
      </c>
      <c r="D883" s="3" t="s">
        <v>40</v>
      </c>
      <c r="E883" s="3" t="s">
        <v>130</v>
      </c>
      <c r="F883" s="5">
        <v>216.23</v>
      </c>
      <c r="G883" s="3" t="s">
        <v>19</v>
      </c>
      <c r="H883" s="3" t="s">
        <v>14</v>
      </c>
      <c r="I883" s="8">
        <f t="shared" si="13"/>
        <v>45536</v>
      </c>
    </row>
    <row r="884" spans="1:9" x14ac:dyDescent="0.25">
      <c r="A884" s="7" t="s">
        <v>974</v>
      </c>
      <c r="B884" s="4">
        <v>45558</v>
      </c>
      <c r="C884" s="3" t="s">
        <v>49</v>
      </c>
      <c r="D884" s="3" t="s">
        <v>50</v>
      </c>
      <c r="E884" s="3" t="s">
        <v>70</v>
      </c>
      <c r="F884" s="5">
        <v>31.97</v>
      </c>
      <c r="G884" s="3" t="s">
        <v>52</v>
      </c>
      <c r="H884" s="3" t="s">
        <v>20</v>
      </c>
      <c r="I884" s="8">
        <f t="shared" si="13"/>
        <v>45536</v>
      </c>
    </row>
    <row r="885" spans="1:9" x14ac:dyDescent="0.25">
      <c r="A885" s="7" t="s">
        <v>975</v>
      </c>
      <c r="B885" s="4">
        <v>45558</v>
      </c>
      <c r="C885" s="3" t="s">
        <v>22</v>
      </c>
      <c r="D885" s="3" t="s">
        <v>22</v>
      </c>
      <c r="E885" s="3" t="s">
        <v>175</v>
      </c>
      <c r="F885" s="5">
        <v>980.35</v>
      </c>
      <c r="G885" s="3" t="s">
        <v>27</v>
      </c>
      <c r="H885" s="3" t="s">
        <v>20</v>
      </c>
      <c r="I885" s="8">
        <f t="shared" si="13"/>
        <v>45536</v>
      </c>
    </row>
    <row r="886" spans="1:9" x14ac:dyDescent="0.25">
      <c r="A886" s="7" t="s">
        <v>976</v>
      </c>
      <c r="B886" s="4">
        <v>45558</v>
      </c>
      <c r="C886" s="3" t="s">
        <v>39</v>
      </c>
      <c r="D886" s="3" t="s">
        <v>22</v>
      </c>
      <c r="E886" s="3" t="s">
        <v>244</v>
      </c>
      <c r="F886" s="5">
        <v>757.7</v>
      </c>
      <c r="G886" s="3" t="s">
        <v>27</v>
      </c>
      <c r="H886" s="3" t="s">
        <v>14</v>
      </c>
      <c r="I886" s="8">
        <f t="shared" si="13"/>
        <v>45536</v>
      </c>
    </row>
    <row r="887" spans="1:9" x14ac:dyDescent="0.25">
      <c r="A887" s="7" t="s">
        <v>977</v>
      </c>
      <c r="B887" s="4">
        <v>45558</v>
      </c>
      <c r="C887" s="3" t="s">
        <v>54</v>
      </c>
      <c r="D887" s="3" t="s">
        <v>36</v>
      </c>
      <c r="E887" s="3" t="s">
        <v>238</v>
      </c>
      <c r="F887" s="5">
        <v>110.11</v>
      </c>
      <c r="G887" s="3" t="s">
        <v>27</v>
      </c>
      <c r="H887" s="3" t="s">
        <v>14</v>
      </c>
      <c r="I887" s="8">
        <f t="shared" si="13"/>
        <v>45536</v>
      </c>
    </row>
    <row r="888" spans="1:9" x14ac:dyDescent="0.25">
      <c r="A888" s="7" t="s">
        <v>978</v>
      </c>
      <c r="B888" s="4">
        <v>45558</v>
      </c>
      <c r="C888" s="3" t="s">
        <v>54</v>
      </c>
      <c r="D888" s="3" t="s">
        <v>17</v>
      </c>
      <c r="E888" s="3" t="s">
        <v>68</v>
      </c>
      <c r="F888" s="5">
        <v>629.67999999999995</v>
      </c>
      <c r="G888" s="3" t="s">
        <v>24</v>
      </c>
      <c r="H888" s="3" t="s">
        <v>20</v>
      </c>
      <c r="I888" s="8">
        <f t="shared" si="13"/>
        <v>45536</v>
      </c>
    </row>
    <row r="889" spans="1:9" x14ac:dyDescent="0.25">
      <c r="A889" s="7" t="s">
        <v>979</v>
      </c>
      <c r="B889" s="4">
        <v>45559</v>
      </c>
      <c r="C889" s="3" t="s">
        <v>39</v>
      </c>
      <c r="D889" s="3" t="s">
        <v>46</v>
      </c>
      <c r="E889" s="3" t="s">
        <v>234</v>
      </c>
      <c r="F889" s="5">
        <v>429.54</v>
      </c>
      <c r="G889" s="3" t="s">
        <v>86</v>
      </c>
      <c r="H889" s="3" t="s">
        <v>14</v>
      </c>
      <c r="I889" s="8">
        <f t="shared" si="13"/>
        <v>45536</v>
      </c>
    </row>
    <row r="890" spans="1:9" x14ac:dyDescent="0.25">
      <c r="A890" s="7" t="s">
        <v>980</v>
      </c>
      <c r="B890" s="4">
        <v>45559</v>
      </c>
      <c r="C890" s="3" t="s">
        <v>29</v>
      </c>
      <c r="D890" s="3" t="s">
        <v>50</v>
      </c>
      <c r="E890" s="3" t="s">
        <v>70</v>
      </c>
      <c r="F890" s="5">
        <v>51.88</v>
      </c>
      <c r="G890" s="3" t="s">
        <v>24</v>
      </c>
      <c r="H890" s="3" t="s">
        <v>14</v>
      </c>
      <c r="I890" s="8">
        <f t="shared" si="13"/>
        <v>45536</v>
      </c>
    </row>
    <row r="891" spans="1:9" x14ac:dyDescent="0.25">
      <c r="A891" s="7" t="s">
        <v>981</v>
      </c>
      <c r="B891" s="4">
        <v>45560</v>
      </c>
      <c r="C891" s="3" t="s">
        <v>16</v>
      </c>
      <c r="D891" s="3" t="s">
        <v>55</v>
      </c>
      <c r="E891" s="3" t="s">
        <v>400</v>
      </c>
      <c r="F891" s="5">
        <v>499.13</v>
      </c>
      <c r="G891" s="3" t="s">
        <v>27</v>
      </c>
      <c r="H891" s="3" t="s">
        <v>20</v>
      </c>
      <c r="I891" s="8">
        <f t="shared" si="13"/>
        <v>45536</v>
      </c>
    </row>
    <row r="892" spans="1:9" x14ac:dyDescent="0.25">
      <c r="A892" s="7" t="s">
        <v>982</v>
      </c>
      <c r="B892" s="4">
        <v>45560</v>
      </c>
      <c r="C892" s="3" t="s">
        <v>33</v>
      </c>
      <c r="D892" s="3" t="s">
        <v>82</v>
      </c>
      <c r="E892" s="3" t="s">
        <v>227</v>
      </c>
      <c r="F892" s="5">
        <v>1431.79</v>
      </c>
      <c r="G892" s="3" t="s">
        <v>13</v>
      </c>
      <c r="H892" s="3" t="s">
        <v>14</v>
      </c>
      <c r="I892" s="8">
        <f t="shared" si="13"/>
        <v>45536</v>
      </c>
    </row>
    <row r="893" spans="1:9" x14ac:dyDescent="0.25">
      <c r="A893" s="7" t="s">
        <v>983</v>
      </c>
      <c r="B893" s="4">
        <v>45560</v>
      </c>
      <c r="C893" s="3" t="s">
        <v>29</v>
      </c>
      <c r="D893" s="3" t="s">
        <v>55</v>
      </c>
      <c r="E893" s="3" t="s">
        <v>537</v>
      </c>
      <c r="F893" s="5">
        <v>555.22</v>
      </c>
      <c r="G893" s="3" t="s">
        <v>27</v>
      </c>
      <c r="H893" s="3" t="s">
        <v>14</v>
      </c>
      <c r="I893" s="8">
        <f t="shared" si="13"/>
        <v>45536</v>
      </c>
    </row>
    <row r="894" spans="1:9" x14ac:dyDescent="0.25">
      <c r="A894" s="7" t="s">
        <v>984</v>
      </c>
      <c r="B894" s="4">
        <v>45561</v>
      </c>
      <c r="C894" s="3" t="s">
        <v>54</v>
      </c>
      <c r="D894" s="3" t="s">
        <v>36</v>
      </c>
      <c r="E894" s="3" t="s">
        <v>238</v>
      </c>
      <c r="F894" s="5">
        <v>128.93</v>
      </c>
      <c r="G894" s="3" t="s">
        <v>19</v>
      </c>
      <c r="H894" s="3" t="s">
        <v>14</v>
      </c>
      <c r="I894" s="8">
        <f t="shared" si="13"/>
        <v>45536</v>
      </c>
    </row>
    <row r="895" spans="1:9" x14ac:dyDescent="0.25">
      <c r="A895" s="7" t="s">
        <v>985</v>
      </c>
      <c r="B895" s="4">
        <v>45562</v>
      </c>
      <c r="C895" s="3" t="s">
        <v>33</v>
      </c>
      <c r="D895" s="3" t="s">
        <v>114</v>
      </c>
      <c r="E895" s="3" t="s">
        <v>117</v>
      </c>
      <c r="F895" s="5">
        <v>1100.93</v>
      </c>
      <c r="G895" s="3" t="s">
        <v>19</v>
      </c>
      <c r="H895" s="3" t="s">
        <v>14</v>
      </c>
      <c r="I895" s="8">
        <f t="shared" si="13"/>
        <v>45536</v>
      </c>
    </row>
    <row r="896" spans="1:9" x14ac:dyDescent="0.25">
      <c r="A896" s="7" t="s">
        <v>986</v>
      </c>
      <c r="B896" s="4">
        <v>45562</v>
      </c>
      <c r="C896" s="3" t="s">
        <v>10</v>
      </c>
      <c r="D896" s="3" t="s">
        <v>17</v>
      </c>
      <c r="E896" s="3" t="s">
        <v>197</v>
      </c>
      <c r="F896" s="5">
        <v>1489.74</v>
      </c>
      <c r="G896" s="3" t="s">
        <v>19</v>
      </c>
      <c r="H896" s="3" t="s">
        <v>14</v>
      </c>
      <c r="I896" s="8">
        <f t="shared" si="13"/>
        <v>45536</v>
      </c>
    </row>
    <row r="897" spans="1:9" x14ac:dyDescent="0.25">
      <c r="A897" s="7" t="s">
        <v>987</v>
      </c>
      <c r="B897" s="4">
        <v>45562</v>
      </c>
      <c r="C897" s="3" t="s">
        <v>49</v>
      </c>
      <c r="D897" s="3" t="s">
        <v>40</v>
      </c>
      <c r="E897" s="3" t="s">
        <v>41</v>
      </c>
      <c r="F897" s="5">
        <v>28.3</v>
      </c>
      <c r="G897" s="3" t="s">
        <v>27</v>
      </c>
      <c r="H897" s="3" t="s">
        <v>14</v>
      </c>
      <c r="I897" s="8">
        <f t="shared" si="13"/>
        <v>45536</v>
      </c>
    </row>
    <row r="898" spans="1:9" x14ac:dyDescent="0.25">
      <c r="A898" s="7" t="s">
        <v>988</v>
      </c>
      <c r="B898" s="4">
        <v>45563</v>
      </c>
      <c r="C898" s="3" t="s">
        <v>39</v>
      </c>
      <c r="D898" s="3" t="s">
        <v>30</v>
      </c>
      <c r="E898" s="3" t="s">
        <v>60</v>
      </c>
      <c r="F898" s="5">
        <v>58.83</v>
      </c>
      <c r="G898" s="3" t="s">
        <v>19</v>
      </c>
      <c r="H898" s="3" t="s">
        <v>20</v>
      </c>
      <c r="I898" s="8">
        <f t="shared" si="13"/>
        <v>45536</v>
      </c>
    </row>
    <row r="899" spans="1:9" x14ac:dyDescent="0.25">
      <c r="A899" s="7" t="s">
        <v>989</v>
      </c>
      <c r="B899" s="4">
        <v>45563</v>
      </c>
      <c r="C899" s="3" t="s">
        <v>54</v>
      </c>
      <c r="D899" s="3" t="s">
        <v>82</v>
      </c>
      <c r="E899" s="3" t="s">
        <v>103</v>
      </c>
      <c r="F899" s="5">
        <v>340.26</v>
      </c>
      <c r="G899" s="3" t="s">
        <v>27</v>
      </c>
      <c r="H899" s="3" t="s">
        <v>14</v>
      </c>
      <c r="I899" s="8">
        <f t="shared" si="13"/>
        <v>45536</v>
      </c>
    </row>
    <row r="900" spans="1:9" x14ac:dyDescent="0.25">
      <c r="A900" s="7" t="s">
        <v>990</v>
      </c>
      <c r="B900" s="4">
        <v>45563</v>
      </c>
      <c r="C900" s="3" t="s">
        <v>39</v>
      </c>
      <c r="D900" s="3" t="s">
        <v>17</v>
      </c>
      <c r="E900" s="3" t="s">
        <v>136</v>
      </c>
      <c r="F900" s="5">
        <v>681.33</v>
      </c>
      <c r="G900" s="3" t="s">
        <v>24</v>
      </c>
      <c r="H900" s="3" t="s">
        <v>14</v>
      </c>
      <c r="I900" s="8">
        <f t="shared" si="13"/>
        <v>45536</v>
      </c>
    </row>
    <row r="901" spans="1:9" x14ac:dyDescent="0.25">
      <c r="A901" s="7" t="s">
        <v>991</v>
      </c>
      <c r="B901" s="4">
        <v>45563</v>
      </c>
      <c r="C901" s="3" t="s">
        <v>22</v>
      </c>
      <c r="D901" s="3" t="s">
        <v>36</v>
      </c>
      <c r="E901" s="3" t="s">
        <v>88</v>
      </c>
      <c r="F901" s="5">
        <v>124.07</v>
      </c>
      <c r="G901" s="3" t="s">
        <v>27</v>
      </c>
      <c r="H901" s="3" t="s">
        <v>14</v>
      </c>
      <c r="I901" s="8">
        <f t="shared" ref="I901:I964" si="14">DATE(YEAR(B901),MONTH(B901),1)</f>
        <v>45536</v>
      </c>
    </row>
    <row r="902" spans="1:9" x14ac:dyDescent="0.25">
      <c r="A902" s="7" t="s">
        <v>992</v>
      </c>
      <c r="B902" s="4">
        <v>45565</v>
      </c>
      <c r="C902" s="3" t="s">
        <v>33</v>
      </c>
      <c r="D902" s="3" t="s">
        <v>50</v>
      </c>
      <c r="E902" s="3" t="s">
        <v>51</v>
      </c>
      <c r="F902" s="5">
        <v>109.02</v>
      </c>
      <c r="G902" s="3" t="s">
        <v>24</v>
      </c>
      <c r="H902" s="3" t="s">
        <v>20</v>
      </c>
      <c r="I902" s="8">
        <f t="shared" si="14"/>
        <v>45536</v>
      </c>
    </row>
    <row r="903" spans="1:9" x14ac:dyDescent="0.25">
      <c r="A903" s="7" t="s">
        <v>993</v>
      </c>
      <c r="B903" s="4">
        <v>45565</v>
      </c>
      <c r="C903" s="3" t="s">
        <v>39</v>
      </c>
      <c r="D903" s="3" t="s">
        <v>22</v>
      </c>
      <c r="E903" s="3" t="s">
        <v>97</v>
      </c>
      <c r="F903" s="5">
        <v>414.43</v>
      </c>
      <c r="G903" s="3" t="s">
        <v>27</v>
      </c>
      <c r="H903" s="3" t="s">
        <v>14</v>
      </c>
      <c r="I903" s="8">
        <f t="shared" si="14"/>
        <v>45536</v>
      </c>
    </row>
    <row r="904" spans="1:9" x14ac:dyDescent="0.25">
      <c r="A904" s="7" t="s">
        <v>994</v>
      </c>
      <c r="B904" s="4">
        <v>45565</v>
      </c>
      <c r="C904" s="3" t="s">
        <v>16</v>
      </c>
      <c r="D904" s="3" t="s">
        <v>36</v>
      </c>
      <c r="E904" s="3" t="s">
        <v>37</v>
      </c>
      <c r="F904" s="5">
        <v>165.19</v>
      </c>
      <c r="G904" s="3" t="s">
        <v>27</v>
      </c>
      <c r="H904" s="3" t="s">
        <v>14</v>
      </c>
      <c r="I904" s="8">
        <f t="shared" si="14"/>
        <v>45536</v>
      </c>
    </row>
    <row r="905" spans="1:9" x14ac:dyDescent="0.25">
      <c r="A905" s="7" t="s">
        <v>995</v>
      </c>
      <c r="B905" s="4">
        <v>45566</v>
      </c>
      <c r="C905" s="3" t="s">
        <v>54</v>
      </c>
      <c r="D905" s="3" t="s">
        <v>50</v>
      </c>
      <c r="E905" s="3" t="s">
        <v>62</v>
      </c>
      <c r="F905" s="5">
        <v>75.13</v>
      </c>
      <c r="G905" s="3" t="s">
        <v>52</v>
      </c>
      <c r="H905" s="3" t="s">
        <v>14</v>
      </c>
      <c r="I905" s="8">
        <f t="shared" si="14"/>
        <v>45566</v>
      </c>
    </row>
    <row r="906" spans="1:9" x14ac:dyDescent="0.25">
      <c r="A906" s="7" t="s">
        <v>996</v>
      </c>
      <c r="B906" s="4">
        <v>45566</v>
      </c>
      <c r="C906" s="3" t="s">
        <v>16</v>
      </c>
      <c r="D906" s="3" t="s">
        <v>11</v>
      </c>
      <c r="E906" s="3" t="s">
        <v>12</v>
      </c>
      <c r="F906" s="5">
        <v>15000</v>
      </c>
      <c r="G906" s="3" t="s">
        <v>13</v>
      </c>
      <c r="H906" s="3" t="s">
        <v>14</v>
      </c>
      <c r="I906" s="8">
        <f t="shared" si="14"/>
        <v>45566</v>
      </c>
    </row>
    <row r="907" spans="1:9" x14ac:dyDescent="0.25">
      <c r="A907" s="7" t="s">
        <v>997</v>
      </c>
      <c r="B907" s="4">
        <v>45566</v>
      </c>
      <c r="C907" s="3" t="s">
        <v>22</v>
      </c>
      <c r="D907" s="3" t="s">
        <v>36</v>
      </c>
      <c r="E907" s="3" t="s">
        <v>88</v>
      </c>
      <c r="F907" s="5">
        <v>43.14</v>
      </c>
      <c r="G907" s="3" t="s">
        <v>19</v>
      </c>
      <c r="H907" s="3" t="s">
        <v>14</v>
      </c>
      <c r="I907" s="8">
        <f t="shared" si="14"/>
        <v>45566</v>
      </c>
    </row>
    <row r="908" spans="1:9" x14ac:dyDescent="0.25">
      <c r="A908" s="7" t="s">
        <v>998</v>
      </c>
      <c r="B908" s="4">
        <v>45566</v>
      </c>
      <c r="C908" s="3" t="s">
        <v>29</v>
      </c>
      <c r="D908" s="3" t="s">
        <v>114</v>
      </c>
      <c r="E908" s="3" t="s">
        <v>199</v>
      </c>
      <c r="F908" s="5">
        <v>93.26</v>
      </c>
      <c r="G908" s="3" t="s">
        <v>19</v>
      </c>
      <c r="H908" s="3" t="s">
        <v>14</v>
      </c>
      <c r="I908" s="8">
        <f t="shared" si="14"/>
        <v>45566</v>
      </c>
    </row>
    <row r="909" spans="1:9" x14ac:dyDescent="0.25">
      <c r="A909" s="7" t="s">
        <v>999</v>
      </c>
      <c r="B909" s="4">
        <v>45567</v>
      </c>
      <c r="C909" s="3" t="s">
        <v>16</v>
      </c>
      <c r="D909" s="3" t="s">
        <v>30</v>
      </c>
      <c r="E909" s="3" t="s">
        <v>60</v>
      </c>
      <c r="F909" s="5">
        <v>45.32</v>
      </c>
      <c r="G909" s="3" t="s">
        <v>24</v>
      </c>
      <c r="H909" s="3" t="s">
        <v>20</v>
      </c>
      <c r="I909" s="8">
        <f t="shared" si="14"/>
        <v>45566</v>
      </c>
    </row>
    <row r="910" spans="1:9" x14ac:dyDescent="0.25">
      <c r="A910" s="7" t="s">
        <v>1000</v>
      </c>
      <c r="B910" s="4">
        <v>45567</v>
      </c>
      <c r="C910" s="3" t="s">
        <v>54</v>
      </c>
      <c r="D910" s="3" t="s">
        <v>55</v>
      </c>
      <c r="E910" s="3" t="s">
        <v>162</v>
      </c>
      <c r="F910" s="5">
        <v>687.49</v>
      </c>
      <c r="G910" s="3" t="s">
        <v>27</v>
      </c>
      <c r="H910" s="3" t="s">
        <v>14</v>
      </c>
      <c r="I910" s="8">
        <f t="shared" si="14"/>
        <v>45566</v>
      </c>
    </row>
    <row r="911" spans="1:9" x14ac:dyDescent="0.25">
      <c r="A911" s="7" t="s">
        <v>1001</v>
      </c>
      <c r="B911" s="4">
        <v>45567</v>
      </c>
      <c r="C911" s="3" t="s">
        <v>16</v>
      </c>
      <c r="D911" s="3" t="s">
        <v>22</v>
      </c>
      <c r="E911" s="3" t="s">
        <v>244</v>
      </c>
      <c r="F911" s="5">
        <v>1437.48</v>
      </c>
      <c r="G911" s="3" t="s">
        <v>27</v>
      </c>
      <c r="H911" s="3" t="s">
        <v>20</v>
      </c>
      <c r="I911" s="8">
        <f t="shared" si="14"/>
        <v>45566</v>
      </c>
    </row>
    <row r="912" spans="1:9" x14ac:dyDescent="0.25">
      <c r="A912" s="7" t="s">
        <v>1002</v>
      </c>
      <c r="B912" s="4">
        <v>45567</v>
      </c>
      <c r="C912" s="3" t="s">
        <v>33</v>
      </c>
      <c r="D912" s="3" t="s">
        <v>22</v>
      </c>
      <c r="E912" s="3" t="s">
        <v>26</v>
      </c>
      <c r="F912" s="5">
        <v>170.83</v>
      </c>
      <c r="G912" s="3" t="s">
        <v>27</v>
      </c>
      <c r="H912" s="3" t="s">
        <v>20</v>
      </c>
      <c r="I912" s="8">
        <f t="shared" si="14"/>
        <v>45566</v>
      </c>
    </row>
    <row r="913" spans="1:9" x14ac:dyDescent="0.25">
      <c r="A913" s="7" t="s">
        <v>1003</v>
      </c>
      <c r="B913" s="4">
        <v>45568</v>
      </c>
      <c r="C913" s="3" t="s">
        <v>29</v>
      </c>
      <c r="D913" s="3" t="s">
        <v>43</v>
      </c>
      <c r="E913" s="3" t="s">
        <v>336</v>
      </c>
      <c r="F913" s="5">
        <v>125.74</v>
      </c>
      <c r="G913" s="3" t="s">
        <v>86</v>
      </c>
      <c r="H913" s="3" t="s">
        <v>14</v>
      </c>
      <c r="I913" s="8">
        <f t="shared" si="14"/>
        <v>45566</v>
      </c>
    </row>
    <row r="914" spans="1:9" x14ac:dyDescent="0.25">
      <c r="A914" s="7" t="s">
        <v>1004</v>
      </c>
      <c r="B914" s="4">
        <v>45568</v>
      </c>
      <c r="C914" s="3" t="s">
        <v>54</v>
      </c>
      <c r="D914" s="3" t="s">
        <v>50</v>
      </c>
      <c r="E914" s="3" t="s">
        <v>51</v>
      </c>
      <c r="F914" s="5">
        <v>32.74</v>
      </c>
      <c r="G914" s="3" t="s">
        <v>52</v>
      </c>
      <c r="H914" s="3" t="s">
        <v>14</v>
      </c>
      <c r="I914" s="8">
        <f t="shared" si="14"/>
        <v>45566</v>
      </c>
    </row>
    <row r="915" spans="1:9" x14ac:dyDescent="0.25">
      <c r="A915" s="7" t="s">
        <v>1005</v>
      </c>
      <c r="B915" s="4">
        <v>45568</v>
      </c>
      <c r="C915" s="3" t="s">
        <v>29</v>
      </c>
      <c r="D915" s="3" t="s">
        <v>50</v>
      </c>
      <c r="E915" s="3" t="s">
        <v>70</v>
      </c>
      <c r="F915" s="5">
        <v>88.02</v>
      </c>
      <c r="G915" s="3" t="s">
        <v>52</v>
      </c>
      <c r="H915" s="3" t="s">
        <v>20</v>
      </c>
      <c r="I915" s="8">
        <f t="shared" si="14"/>
        <v>45566</v>
      </c>
    </row>
    <row r="916" spans="1:9" x14ac:dyDescent="0.25">
      <c r="A916" s="7" t="s">
        <v>1006</v>
      </c>
      <c r="B916" s="4">
        <v>45568</v>
      </c>
      <c r="C916" s="3" t="s">
        <v>49</v>
      </c>
      <c r="D916" s="3" t="s">
        <v>30</v>
      </c>
      <c r="E916" s="3" t="s">
        <v>60</v>
      </c>
      <c r="F916" s="5">
        <v>18.14</v>
      </c>
      <c r="G916" s="3" t="s">
        <v>24</v>
      </c>
      <c r="H916" s="3" t="s">
        <v>14</v>
      </c>
      <c r="I916" s="8">
        <f t="shared" si="14"/>
        <v>45566</v>
      </c>
    </row>
    <row r="917" spans="1:9" x14ac:dyDescent="0.25">
      <c r="A917" s="7" t="s">
        <v>1007</v>
      </c>
      <c r="B917" s="4">
        <v>45568</v>
      </c>
      <c r="C917" s="3" t="s">
        <v>29</v>
      </c>
      <c r="D917" s="3" t="s">
        <v>40</v>
      </c>
      <c r="E917" s="3" t="s">
        <v>105</v>
      </c>
      <c r="F917" s="5">
        <v>614.01</v>
      </c>
      <c r="G917" s="3" t="s">
        <v>27</v>
      </c>
      <c r="H917" s="3" t="s">
        <v>14</v>
      </c>
      <c r="I917" s="8">
        <f t="shared" si="14"/>
        <v>45566</v>
      </c>
    </row>
    <row r="918" spans="1:9" x14ac:dyDescent="0.25">
      <c r="A918" s="7" t="s">
        <v>1008</v>
      </c>
      <c r="B918" s="4">
        <v>45568</v>
      </c>
      <c r="C918" s="3" t="s">
        <v>10</v>
      </c>
      <c r="D918" s="3" t="s">
        <v>30</v>
      </c>
      <c r="E918" s="3" t="s">
        <v>185</v>
      </c>
      <c r="F918" s="5">
        <v>209.76</v>
      </c>
      <c r="G918" s="3" t="s">
        <v>52</v>
      </c>
      <c r="H918" s="3" t="s">
        <v>20</v>
      </c>
      <c r="I918" s="8">
        <f t="shared" si="14"/>
        <v>45566</v>
      </c>
    </row>
    <row r="919" spans="1:9" x14ac:dyDescent="0.25">
      <c r="A919" s="7" t="s">
        <v>1009</v>
      </c>
      <c r="B919" s="4">
        <v>45568</v>
      </c>
      <c r="C919" s="3" t="s">
        <v>49</v>
      </c>
      <c r="D919" s="3" t="s">
        <v>17</v>
      </c>
      <c r="E919" s="3" t="s">
        <v>80</v>
      </c>
      <c r="F919" s="5">
        <v>1377.53</v>
      </c>
      <c r="G919" s="3" t="s">
        <v>19</v>
      </c>
      <c r="H919" s="3" t="s">
        <v>14</v>
      </c>
      <c r="I919" s="8">
        <f t="shared" si="14"/>
        <v>45566</v>
      </c>
    </row>
    <row r="920" spans="1:9" x14ac:dyDescent="0.25">
      <c r="A920" s="7" t="s">
        <v>1010</v>
      </c>
      <c r="B920" s="4">
        <v>45569</v>
      </c>
      <c r="C920" s="3" t="s">
        <v>49</v>
      </c>
      <c r="D920" s="3" t="s">
        <v>30</v>
      </c>
      <c r="E920" s="3" t="s">
        <v>214</v>
      </c>
      <c r="F920" s="5">
        <v>226.89</v>
      </c>
      <c r="G920" s="3" t="s">
        <v>19</v>
      </c>
      <c r="H920" s="3" t="s">
        <v>20</v>
      </c>
      <c r="I920" s="8">
        <f t="shared" si="14"/>
        <v>45566</v>
      </c>
    </row>
    <row r="921" spans="1:9" x14ac:dyDescent="0.25">
      <c r="A921" s="7" t="s">
        <v>1011</v>
      </c>
      <c r="B921" s="4">
        <v>45569</v>
      </c>
      <c r="C921" s="3" t="s">
        <v>16</v>
      </c>
      <c r="D921" s="3" t="s">
        <v>17</v>
      </c>
      <c r="E921" s="3" t="s">
        <v>197</v>
      </c>
      <c r="F921" s="5">
        <v>604.89</v>
      </c>
      <c r="G921" s="3" t="s">
        <v>24</v>
      </c>
      <c r="H921" s="3" t="s">
        <v>14</v>
      </c>
      <c r="I921" s="8">
        <f t="shared" si="14"/>
        <v>45566</v>
      </c>
    </row>
    <row r="922" spans="1:9" x14ac:dyDescent="0.25">
      <c r="A922" s="7" t="s">
        <v>1012</v>
      </c>
      <c r="B922" s="4">
        <v>45570</v>
      </c>
      <c r="C922" s="3" t="s">
        <v>16</v>
      </c>
      <c r="D922" s="3" t="s">
        <v>43</v>
      </c>
      <c r="E922" s="3" t="s">
        <v>336</v>
      </c>
      <c r="F922" s="5">
        <v>286.45999999999998</v>
      </c>
      <c r="G922" s="3" t="s">
        <v>13</v>
      </c>
      <c r="H922" s="3" t="s">
        <v>14</v>
      </c>
      <c r="I922" s="8">
        <f t="shared" si="14"/>
        <v>45566</v>
      </c>
    </row>
    <row r="923" spans="1:9" x14ac:dyDescent="0.25">
      <c r="A923" s="7" t="s">
        <v>1013</v>
      </c>
      <c r="B923" s="4">
        <v>45570</v>
      </c>
      <c r="C923" s="3" t="s">
        <v>54</v>
      </c>
      <c r="D923" s="3" t="s">
        <v>43</v>
      </c>
      <c r="E923" s="3" t="s">
        <v>336</v>
      </c>
      <c r="F923" s="5">
        <v>51.13</v>
      </c>
      <c r="G923" s="3" t="s">
        <v>86</v>
      </c>
      <c r="H923" s="3" t="s">
        <v>20</v>
      </c>
      <c r="I923" s="8">
        <f t="shared" si="14"/>
        <v>45566</v>
      </c>
    </row>
    <row r="924" spans="1:9" x14ac:dyDescent="0.25">
      <c r="A924" s="7" t="s">
        <v>1014</v>
      </c>
      <c r="B924" s="4">
        <v>45570</v>
      </c>
      <c r="C924" s="3" t="s">
        <v>16</v>
      </c>
      <c r="D924" s="3" t="s">
        <v>50</v>
      </c>
      <c r="E924" s="3" t="s">
        <v>62</v>
      </c>
      <c r="F924" s="5">
        <v>20.079999999999998</v>
      </c>
      <c r="G924" s="3" t="s">
        <v>24</v>
      </c>
      <c r="H924" s="3" t="s">
        <v>14</v>
      </c>
      <c r="I924" s="8">
        <f t="shared" si="14"/>
        <v>45566</v>
      </c>
    </row>
    <row r="925" spans="1:9" x14ac:dyDescent="0.25">
      <c r="A925" s="7" t="s">
        <v>1015</v>
      </c>
      <c r="B925" s="4">
        <v>45570</v>
      </c>
      <c r="C925" s="3" t="s">
        <v>39</v>
      </c>
      <c r="D925" s="3" t="s">
        <v>17</v>
      </c>
      <c r="E925" s="3" t="s">
        <v>23</v>
      </c>
      <c r="F925" s="5">
        <v>869.82</v>
      </c>
      <c r="G925" s="3" t="s">
        <v>24</v>
      </c>
      <c r="H925" s="3" t="s">
        <v>20</v>
      </c>
      <c r="I925" s="8">
        <f t="shared" si="14"/>
        <v>45566</v>
      </c>
    </row>
    <row r="926" spans="1:9" x14ac:dyDescent="0.25">
      <c r="A926" s="7" t="s">
        <v>1016</v>
      </c>
      <c r="B926" s="4">
        <v>45570</v>
      </c>
      <c r="C926" s="3" t="s">
        <v>10</v>
      </c>
      <c r="D926" s="3" t="s">
        <v>50</v>
      </c>
      <c r="E926" s="3" t="s">
        <v>166</v>
      </c>
      <c r="F926" s="5">
        <v>104.2</v>
      </c>
      <c r="G926" s="3" t="s">
        <v>52</v>
      </c>
      <c r="H926" s="3" t="s">
        <v>20</v>
      </c>
      <c r="I926" s="8">
        <f t="shared" si="14"/>
        <v>45566</v>
      </c>
    </row>
    <row r="927" spans="1:9" x14ac:dyDescent="0.25">
      <c r="A927" s="7" t="s">
        <v>1017</v>
      </c>
      <c r="B927" s="4">
        <v>45571</v>
      </c>
      <c r="C927" s="3" t="s">
        <v>29</v>
      </c>
      <c r="D927" s="3" t="s">
        <v>43</v>
      </c>
      <c r="E927" s="3" t="s">
        <v>78</v>
      </c>
      <c r="F927" s="5">
        <v>368.68</v>
      </c>
      <c r="G927" s="3" t="s">
        <v>13</v>
      </c>
      <c r="H927" s="3" t="s">
        <v>14</v>
      </c>
      <c r="I927" s="8">
        <f t="shared" si="14"/>
        <v>45566</v>
      </c>
    </row>
    <row r="928" spans="1:9" x14ac:dyDescent="0.25">
      <c r="A928" s="7" t="s">
        <v>1018</v>
      </c>
      <c r="B928" s="4">
        <v>45571</v>
      </c>
      <c r="C928" s="3" t="s">
        <v>10</v>
      </c>
      <c r="D928" s="3" t="s">
        <v>30</v>
      </c>
      <c r="E928" s="3" t="s">
        <v>34</v>
      </c>
      <c r="F928" s="5">
        <v>282.95999999999998</v>
      </c>
      <c r="G928" s="3" t="s">
        <v>24</v>
      </c>
      <c r="H928" s="3" t="s">
        <v>14</v>
      </c>
      <c r="I928" s="8">
        <f t="shared" si="14"/>
        <v>45566</v>
      </c>
    </row>
    <row r="929" spans="1:9" x14ac:dyDescent="0.25">
      <c r="A929" s="7" t="s">
        <v>1019</v>
      </c>
      <c r="B929" s="4">
        <v>45571</v>
      </c>
      <c r="C929" s="3" t="s">
        <v>16</v>
      </c>
      <c r="D929" s="3" t="s">
        <v>50</v>
      </c>
      <c r="E929" s="3" t="s">
        <v>70</v>
      </c>
      <c r="F929" s="5">
        <v>43.99</v>
      </c>
      <c r="G929" s="3" t="s">
        <v>52</v>
      </c>
      <c r="H929" s="3" t="s">
        <v>14</v>
      </c>
      <c r="I929" s="8">
        <f t="shared" si="14"/>
        <v>45566</v>
      </c>
    </row>
    <row r="930" spans="1:9" x14ac:dyDescent="0.25">
      <c r="A930" s="7" t="s">
        <v>1020</v>
      </c>
      <c r="B930" s="4">
        <v>45571</v>
      </c>
      <c r="C930" s="3" t="s">
        <v>16</v>
      </c>
      <c r="D930" s="3" t="s">
        <v>22</v>
      </c>
      <c r="E930" s="3" t="s">
        <v>93</v>
      </c>
      <c r="F930" s="5">
        <v>1605.97</v>
      </c>
      <c r="G930" s="3" t="s">
        <v>19</v>
      </c>
      <c r="H930" s="3" t="s">
        <v>14</v>
      </c>
      <c r="I930" s="8">
        <f t="shared" si="14"/>
        <v>45566</v>
      </c>
    </row>
    <row r="931" spans="1:9" x14ac:dyDescent="0.25">
      <c r="A931" s="7" t="s">
        <v>1021</v>
      </c>
      <c r="B931" s="4">
        <v>45571</v>
      </c>
      <c r="C931" s="3" t="s">
        <v>49</v>
      </c>
      <c r="D931" s="3" t="s">
        <v>82</v>
      </c>
      <c r="E931" s="3" t="s">
        <v>216</v>
      </c>
      <c r="F931" s="5">
        <v>599.77</v>
      </c>
      <c r="G931" s="3" t="s">
        <v>13</v>
      </c>
      <c r="H931" s="3" t="s">
        <v>14</v>
      </c>
      <c r="I931" s="8">
        <f t="shared" si="14"/>
        <v>45566</v>
      </c>
    </row>
    <row r="932" spans="1:9" x14ac:dyDescent="0.25">
      <c r="A932" s="7" t="s">
        <v>1022</v>
      </c>
      <c r="B932" s="4">
        <v>45571</v>
      </c>
      <c r="C932" s="3" t="s">
        <v>10</v>
      </c>
      <c r="D932" s="3" t="s">
        <v>22</v>
      </c>
      <c r="E932" s="3" t="s">
        <v>97</v>
      </c>
      <c r="F932" s="5">
        <v>2092.41</v>
      </c>
      <c r="G932" s="3" t="s">
        <v>19</v>
      </c>
      <c r="H932" s="3" t="s">
        <v>14</v>
      </c>
      <c r="I932" s="8">
        <f t="shared" si="14"/>
        <v>45566</v>
      </c>
    </row>
    <row r="933" spans="1:9" x14ac:dyDescent="0.25">
      <c r="A933" s="7" t="s">
        <v>1023</v>
      </c>
      <c r="B933" s="4">
        <v>45571</v>
      </c>
      <c r="C933" s="3" t="s">
        <v>54</v>
      </c>
      <c r="D933" s="3" t="s">
        <v>17</v>
      </c>
      <c r="E933" s="3" t="s">
        <v>136</v>
      </c>
      <c r="F933" s="5">
        <v>1180.33</v>
      </c>
      <c r="G933" s="3" t="s">
        <v>24</v>
      </c>
      <c r="H933" s="3" t="s">
        <v>20</v>
      </c>
      <c r="I933" s="8">
        <f t="shared" si="14"/>
        <v>45566</v>
      </c>
    </row>
    <row r="934" spans="1:9" x14ac:dyDescent="0.25">
      <c r="A934" s="7" t="s">
        <v>1024</v>
      </c>
      <c r="B934" s="4">
        <v>45571</v>
      </c>
      <c r="C934" s="3" t="s">
        <v>22</v>
      </c>
      <c r="D934" s="3" t="s">
        <v>17</v>
      </c>
      <c r="E934" s="3" t="s">
        <v>23</v>
      </c>
      <c r="F934" s="5">
        <v>1170.9100000000001</v>
      </c>
      <c r="G934" s="3" t="s">
        <v>19</v>
      </c>
      <c r="H934" s="3" t="s">
        <v>14</v>
      </c>
      <c r="I934" s="8">
        <f t="shared" si="14"/>
        <v>45566</v>
      </c>
    </row>
    <row r="935" spans="1:9" x14ac:dyDescent="0.25">
      <c r="A935" s="7" t="s">
        <v>1025</v>
      </c>
      <c r="B935" s="4">
        <v>45572</v>
      </c>
      <c r="C935" s="3" t="s">
        <v>49</v>
      </c>
      <c r="D935" s="3" t="s">
        <v>17</v>
      </c>
      <c r="E935" s="3" t="s">
        <v>154</v>
      </c>
      <c r="F935" s="5">
        <v>715.62</v>
      </c>
      <c r="G935" s="3" t="s">
        <v>19</v>
      </c>
      <c r="H935" s="3" t="s">
        <v>14</v>
      </c>
      <c r="I935" s="8">
        <f t="shared" si="14"/>
        <v>45566</v>
      </c>
    </row>
    <row r="936" spans="1:9" x14ac:dyDescent="0.25">
      <c r="A936" s="7" t="s">
        <v>1026</v>
      </c>
      <c r="B936" s="4">
        <v>45572</v>
      </c>
      <c r="C936" s="3" t="s">
        <v>16</v>
      </c>
      <c r="D936" s="3" t="s">
        <v>22</v>
      </c>
      <c r="E936" s="3" t="s">
        <v>97</v>
      </c>
      <c r="F936" s="5">
        <v>2033.98</v>
      </c>
      <c r="G936" s="3" t="s">
        <v>19</v>
      </c>
      <c r="H936" s="3" t="s">
        <v>14</v>
      </c>
      <c r="I936" s="8">
        <f t="shared" si="14"/>
        <v>45566</v>
      </c>
    </row>
    <row r="937" spans="1:9" x14ac:dyDescent="0.25">
      <c r="A937" s="7" t="s">
        <v>1027</v>
      </c>
      <c r="B937" s="4">
        <v>45572</v>
      </c>
      <c r="C937" s="3" t="s">
        <v>49</v>
      </c>
      <c r="D937" s="3" t="s">
        <v>17</v>
      </c>
      <c r="E937" s="3" t="s">
        <v>23</v>
      </c>
      <c r="F937" s="5">
        <v>1371.23</v>
      </c>
      <c r="G937" s="3" t="s">
        <v>19</v>
      </c>
      <c r="H937" s="3" t="s">
        <v>20</v>
      </c>
      <c r="I937" s="8">
        <f t="shared" si="14"/>
        <v>45566</v>
      </c>
    </row>
    <row r="938" spans="1:9" x14ac:dyDescent="0.25">
      <c r="A938" s="7" t="s">
        <v>1028</v>
      </c>
      <c r="B938" s="4">
        <v>45572</v>
      </c>
      <c r="C938" s="3" t="s">
        <v>22</v>
      </c>
      <c r="D938" s="3" t="s">
        <v>17</v>
      </c>
      <c r="E938" s="3" t="s">
        <v>23</v>
      </c>
      <c r="F938" s="5">
        <v>1214.52</v>
      </c>
      <c r="G938" s="3" t="s">
        <v>24</v>
      </c>
      <c r="H938" s="3" t="s">
        <v>14</v>
      </c>
      <c r="I938" s="8">
        <f t="shared" si="14"/>
        <v>45566</v>
      </c>
    </row>
    <row r="939" spans="1:9" x14ac:dyDescent="0.25">
      <c r="A939" s="7" t="s">
        <v>1029</v>
      </c>
      <c r="B939" s="4">
        <v>45572</v>
      </c>
      <c r="C939" s="3" t="s">
        <v>49</v>
      </c>
      <c r="D939" s="3" t="s">
        <v>40</v>
      </c>
      <c r="E939" s="3" t="s">
        <v>58</v>
      </c>
      <c r="F939" s="5">
        <v>715.46</v>
      </c>
      <c r="G939" s="3" t="s">
        <v>27</v>
      </c>
      <c r="H939" s="3" t="s">
        <v>14</v>
      </c>
      <c r="I939" s="8">
        <f t="shared" si="14"/>
        <v>45566</v>
      </c>
    </row>
    <row r="940" spans="1:9" x14ac:dyDescent="0.25">
      <c r="A940" s="7" t="s">
        <v>1030</v>
      </c>
      <c r="B940" s="4">
        <v>45573</v>
      </c>
      <c r="C940" s="3" t="s">
        <v>54</v>
      </c>
      <c r="D940" s="3" t="s">
        <v>50</v>
      </c>
      <c r="E940" s="3" t="s">
        <v>62</v>
      </c>
      <c r="F940" s="5">
        <v>51.8</v>
      </c>
      <c r="G940" s="3" t="s">
        <v>24</v>
      </c>
      <c r="H940" s="3" t="s">
        <v>14</v>
      </c>
      <c r="I940" s="8">
        <f t="shared" si="14"/>
        <v>45566</v>
      </c>
    </row>
    <row r="941" spans="1:9" x14ac:dyDescent="0.25">
      <c r="A941" s="7" t="s">
        <v>1031</v>
      </c>
      <c r="B941" s="4">
        <v>45573</v>
      </c>
      <c r="C941" s="3" t="s">
        <v>39</v>
      </c>
      <c r="D941" s="3" t="s">
        <v>22</v>
      </c>
      <c r="E941" s="3" t="s">
        <v>175</v>
      </c>
      <c r="F941" s="5">
        <v>2256.67</v>
      </c>
      <c r="G941" s="3" t="s">
        <v>19</v>
      </c>
      <c r="H941" s="3" t="s">
        <v>14</v>
      </c>
      <c r="I941" s="8">
        <f t="shared" si="14"/>
        <v>45566</v>
      </c>
    </row>
    <row r="942" spans="1:9" x14ac:dyDescent="0.25">
      <c r="A942" s="7" t="s">
        <v>1032</v>
      </c>
      <c r="B942" s="4">
        <v>45573</v>
      </c>
      <c r="C942" s="3" t="s">
        <v>54</v>
      </c>
      <c r="D942" s="3" t="s">
        <v>22</v>
      </c>
      <c r="E942" s="3" t="s">
        <v>244</v>
      </c>
      <c r="F942" s="5">
        <v>2297.21</v>
      </c>
      <c r="G942" s="3" t="s">
        <v>19</v>
      </c>
      <c r="H942" s="3" t="s">
        <v>14</v>
      </c>
      <c r="I942" s="8">
        <f t="shared" si="14"/>
        <v>45566</v>
      </c>
    </row>
    <row r="943" spans="1:9" x14ac:dyDescent="0.25">
      <c r="A943" s="7" t="s">
        <v>1033</v>
      </c>
      <c r="B943" s="4">
        <v>45573</v>
      </c>
      <c r="C943" s="3" t="s">
        <v>33</v>
      </c>
      <c r="D943" s="3" t="s">
        <v>36</v>
      </c>
      <c r="E943" s="3" t="s">
        <v>88</v>
      </c>
      <c r="F943" s="5">
        <v>177.01</v>
      </c>
      <c r="G943" s="3" t="s">
        <v>27</v>
      </c>
      <c r="H943" s="3" t="s">
        <v>20</v>
      </c>
      <c r="I943" s="8">
        <f t="shared" si="14"/>
        <v>45566</v>
      </c>
    </row>
    <row r="944" spans="1:9" x14ac:dyDescent="0.25">
      <c r="A944" s="7" t="s">
        <v>1034</v>
      </c>
      <c r="B944" s="4">
        <v>45574</v>
      </c>
      <c r="C944" s="3" t="s">
        <v>10</v>
      </c>
      <c r="D944" s="3" t="s">
        <v>114</v>
      </c>
      <c r="E944" s="3" t="s">
        <v>199</v>
      </c>
      <c r="F944" s="5">
        <v>1190.32</v>
      </c>
      <c r="G944" s="3" t="s">
        <v>19</v>
      </c>
      <c r="H944" s="3" t="s">
        <v>14</v>
      </c>
      <c r="I944" s="8">
        <f t="shared" si="14"/>
        <v>45566</v>
      </c>
    </row>
    <row r="945" spans="1:9" x14ac:dyDescent="0.25">
      <c r="A945" s="7" t="s">
        <v>1035</v>
      </c>
      <c r="B945" s="4">
        <v>45575</v>
      </c>
      <c r="C945" s="3" t="s">
        <v>10</v>
      </c>
      <c r="D945" s="3" t="s">
        <v>17</v>
      </c>
      <c r="E945" s="3" t="s">
        <v>197</v>
      </c>
      <c r="F945" s="5">
        <v>260.69</v>
      </c>
      <c r="G945" s="3" t="s">
        <v>24</v>
      </c>
      <c r="H945" s="3" t="s">
        <v>14</v>
      </c>
      <c r="I945" s="8">
        <f t="shared" si="14"/>
        <v>45566</v>
      </c>
    </row>
    <row r="946" spans="1:9" x14ac:dyDescent="0.25">
      <c r="A946" s="7" t="s">
        <v>1036</v>
      </c>
      <c r="B946" s="4">
        <v>45576</v>
      </c>
      <c r="C946" s="3" t="s">
        <v>33</v>
      </c>
      <c r="D946" s="3" t="s">
        <v>82</v>
      </c>
      <c r="E946" s="3" t="s">
        <v>227</v>
      </c>
      <c r="F946" s="5">
        <v>1622.29</v>
      </c>
      <c r="G946" s="3" t="s">
        <v>27</v>
      </c>
      <c r="H946" s="3" t="s">
        <v>14</v>
      </c>
      <c r="I946" s="8">
        <f t="shared" si="14"/>
        <v>45566</v>
      </c>
    </row>
    <row r="947" spans="1:9" x14ac:dyDescent="0.25">
      <c r="A947" s="7" t="s">
        <v>1037</v>
      </c>
      <c r="B947" s="4">
        <v>45577</v>
      </c>
      <c r="C947" s="3" t="s">
        <v>33</v>
      </c>
      <c r="D947" s="3" t="s">
        <v>36</v>
      </c>
      <c r="E947" s="3" t="s">
        <v>145</v>
      </c>
      <c r="F947" s="5">
        <v>124.23</v>
      </c>
      <c r="G947" s="3" t="s">
        <v>19</v>
      </c>
      <c r="H947" s="3" t="s">
        <v>14</v>
      </c>
      <c r="I947" s="8">
        <f t="shared" si="14"/>
        <v>45566</v>
      </c>
    </row>
    <row r="948" spans="1:9" x14ac:dyDescent="0.25">
      <c r="A948" s="7" t="s">
        <v>1038</v>
      </c>
      <c r="B948" s="4">
        <v>45578</v>
      </c>
      <c r="C948" s="3" t="s">
        <v>54</v>
      </c>
      <c r="D948" s="3" t="s">
        <v>17</v>
      </c>
      <c r="E948" s="3" t="s">
        <v>18</v>
      </c>
      <c r="F948" s="5">
        <v>1201.19</v>
      </c>
      <c r="G948" s="3" t="s">
        <v>19</v>
      </c>
      <c r="H948" s="3" t="s">
        <v>20</v>
      </c>
      <c r="I948" s="8">
        <f t="shared" si="14"/>
        <v>45566</v>
      </c>
    </row>
    <row r="949" spans="1:9" x14ac:dyDescent="0.25">
      <c r="A949" s="7" t="s">
        <v>1039</v>
      </c>
      <c r="B949" s="4">
        <v>45578</v>
      </c>
      <c r="C949" s="3" t="s">
        <v>54</v>
      </c>
      <c r="D949" s="3" t="s">
        <v>40</v>
      </c>
      <c r="E949" s="3" t="s">
        <v>148</v>
      </c>
      <c r="F949" s="5">
        <v>303.44</v>
      </c>
      <c r="G949" s="3" t="s">
        <v>27</v>
      </c>
      <c r="H949" s="3" t="s">
        <v>14</v>
      </c>
      <c r="I949" s="8">
        <f t="shared" si="14"/>
        <v>45566</v>
      </c>
    </row>
    <row r="950" spans="1:9" x14ac:dyDescent="0.25">
      <c r="A950" s="7" t="s">
        <v>1040</v>
      </c>
      <c r="B950" s="4">
        <v>45578</v>
      </c>
      <c r="C950" s="3" t="s">
        <v>39</v>
      </c>
      <c r="D950" s="3" t="s">
        <v>17</v>
      </c>
      <c r="E950" s="3" t="s">
        <v>68</v>
      </c>
      <c r="F950" s="5">
        <v>1313.62</v>
      </c>
      <c r="G950" s="3" t="s">
        <v>24</v>
      </c>
      <c r="H950" s="3" t="s">
        <v>20</v>
      </c>
      <c r="I950" s="8">
        <f t="shared" si="14"/>
        <v>45566</v>
      </c>
    </row>
    <row r="951" spans="1:9" x14ac:dyDescent="0.25">
      <c r="A951" s="7" t="s">
        <v>1041</v>
      </c>
      <c r="B951" s="4">
        <v>45579</v>
      </c>
      <c r="C951" s="3" t="s">
        <v>39</v>
      </c>
      <c r="D951" s="3" t="s">
        <v>40</v>
      </c>
      <c r="E951" s="3" t="s">
        <v>130</v>
      </c>
      <c r="F951" s="5">
        <v>619.28</v>
      </c>
      <c r="G951" s="3" t="s">
        <v>19</v>
      </c>
      <c r="H951" s="3" t="s">
        <v>14</v>
      </c>
      <c r="I951" s="8">
        <f t="shared" si="14"/>
        <v>45566</v>
      </c>
    </row>
    <row r="952" spans="1:9" x14ac:dyDescent="0.25">
      <c r="A952" s="7" t="s">
        <v>1042</v>
      </c>
      <c r="B952" s="4">
        <v>45579</v>
      </c>
      <c r="C952" s="3" t="s">
        <v>16</v>
      </c>
      <c r="D952" s="3" t="s">
        <v>30</v>
      </c>
      <c r="E952" s="3" t="s">
        <v>34</v>
      </c>
      <c r="F952" s="5">
        <v>191.26</v>
      </c>
      <c r="G952" s="3" t="s">
        <v>24</v>
      </c>
      <c r="H952" s="3" t="s">
        <v>14</v>
      </c>
      <c r="I952" s="8">
        <f t="shared" si="14"/>
        <v>45566</v>
      </c>
    </row>
    <row r="953" spans="1:9" x14ac:dyDescent="0.25">
      <c r="A953" s="7" t="s">
        <v>1043</v>
      </c>
      <c r="B953" s="4">
        <v>45579</v>
      </c>
      <c r="C953" s="3" t="s">
        <v>33</v>
      </c>
      <c r="D953" s="3" t="s">
        <v>40</v>
      </c>
      <c r="E953" s="3" t="s">
        <v>105</v>
      </c>
      <c r="F953" s="5">
        <v>134.34</v>
      </c>
      <c r="G953" s="3" t="s">
        <v>19</v>
      </c>
      <c r="H953" s="3" t="s">
        <v>14</v>
      </c>
      <c r="I953" s="8">
        <f t="shared" si="14"/>
        <v>45566</v>
      </c>
    </row>
    <row r="954" spans="1:9" x14ac:dyDescent="0.25">
      <c r="A954" s="7" t="s">
        <v>1044</v>
      </c>
      <c r="B954" s="4">
        <v>45580</v>
      </c>
      <c r="C954" s="3" t="s">
        <v>54</v>
      </c>
      <c r="D954" s="3" t="s">
        <v>114</v>
      </c>
      <c r="E954" s="3" t="s">
        <v>117</v>
      </c>
      <c r="F954" s="5">
        <v>776.48</v>
      </c>
      <c r="G954" s="3" t="s">
        <v>19</v>
      </c>
      <c r="H954" s="3" t="s">
        <v>14</v>
      </c>
      <c r="I954" s="8">
        <f t="shared" si="14"/>
        <v>45566</v>
      </c>
    </row>
    <row r="955" spans="1:9" x14ac:dyDescent="0.25">
      <c r="A955" s="7" t="s">
        <v>1045</v>
      </c>
      <c r="B955" s="4">
        <v>45580</v>
      </c>
      <c r="C955" s="3" t="s">
        <v>10</v>
      </c>
      <c r="D955" s="3" t="s">
        <v>17</v>
      </c>
      <c r="E955" s="3" t="s">
        <v>154</v>
      </c>
      <c r="F955" s="5">
        <v>977.61</v>
      </c>
      <c r="G955" s="3" t="s">
        <v>24</v>
      </c>
      <c r="H955" s="3" t="s">
        <v>14</v>
      </c>
      <c r="I955" s="8">
        <f t="shared" si="14"/>
        <v>45566</v>
      </c>
    </row>
    <row r="956" spans="1:9" x14ac:dyDescent="0.25">
      <c r="A956" s="7" t="s">
        <v>1046</v>
      </c>
      <c r="B956" s="4">
        <v>45580</v>
      </c>
      <c r="C956" s="3" t="s">
        <v>22</v>
      </c>
      <c r="D956" s="3" t="s">
        <v>36</v>
      </c>
      <c r="E956" s="3" t="s">
        <v>37</v>
      </c>
      <c r="F956" s="5">
        <v>148.47</v>
      </c>
      <c r="G956" s="3" t="s">
        <v>27</v>
      </c>
      <c r="H956" s="3" t="s">
        <v>20</v>
      </c>
      <c r="I956" s="8">
        <f t="shared" si="14"/>
        <v>45566</v>
      </c>
    </row>
    <row r="957" spans="1:9" x14ac:dyDescent="0.25">
      <c r="A957" s="7" t="s">
        <v>1047</v>
      </c>
      <c r="B957" s="4">
        <v>45581</v>
      </c>
      <c r="C957" s="3" t="s">
        <v>39</v>
      </c>
      <c r="D957" s="3" t="s">
        <v>30</v>
      </c>
      <c r="E957" s="3" t="s">
        <v>169</v>
      </c>
      <c r="F957" s="5">
        <v>201.62</v>
      </c>
      <c r="G957" s="3" t="s">
        <v>24</v>
      </c>
      <c r="H957" s="3" t="s">
        <v>14</v>
      </c>
      <c r="I957" s="8">
        <f t="shared" si="14"/>
        <v>45566</v>
      </c>
    </row>
    <row r="958" spans="1:9" x14ac:dyDescent="0.25">
      <c r="A958" s="7" t="s">
        <v>1048</v>
      </c>
      <c r="B958" s="4">
        <v>45582</v>
      </c>
      <c r="C958" s="3" t="s">
        <v>29</v>
      </c>
      <c r="D958" s="3" t="s">
        <v>22</v>
      </c>
      <c r="E958" s="3" t="s">
        <v>75</v>
      </c>
      <c r="F958" s="5">
        <v>173.74</v>
      </c>
      <c r="G958" s="3" t="s">
        <v>19</v>
      </c>
      <c r="H958" s="3" t="s">
        <v>20</v>
      </c>
      <c r="I958" s="8">
        <f t="shared" si="14"/>
        <v>45566</v>
      </c>
    </row>
    <row r="959" spans="1:9" x14ac:dyDescent="0.25">
      <c r="A959" s="7" t="s">
        <v>1049</v>
      </c>
      <c r="B959" s="4">
        <v>45582</v>
      </c>
      <c r="C959" s="3" t="s">
        <v>29</v>
      </c>
      <c r="D959" s="3" t="s">
        <v>46</v>
      </c>
      <c r="E959" s="3" t="s">
        <v>187</v>
      </c>
      <c r="F959" s="5">
        <v>157.26</v>
      </c>
      <c r="G959" s="3" t="s">
        <v>13</v>
      </c>
      <c r="H959" s="3" t="s">
        <v>14</v>
      </c>
      <c r="I959" s="8">
        <f t="shared" si="14"/>
        <v>45566</v>
      </c>
    </row>
    <row r="960" spans="1:9" x14ac:dyDescent="0.25">
      <c r="A960" s="7" t="s">
        <v>1050</v>
      </c>
      <c r="B960" s="4">
        <v>45582</v>
      </c>
      <c r="C960" s="3" t="s">
        <v>49</v>
      </c>
      <c r="D960" s="3" t="s">
        <v>50</v>
      </c>
      <c r="E960" s="3" t="s">
        <v>166</v>
      </c>
      <c r="F960" s="5">
        <v>13.97</v>
      </c>
      <c r="G960" s="3" t="s">
        <v>52</v>
      </c>
      <c r="H960" s="3" t="s">
        <v>20</v>
      </c>
      <c r="I960" s="8">
        <f t="shared" si="14"/>
        <v>45566</v>
      </c>
    </row>
    <row r="961" spans="1:9" x14ac:dyDescent="0.25">
      <c r="A961" s="7" t="s">
        <v>1051</v>
      </c>
      <c r="B961" s="4">
        <v>45582</v>
      </c>
      <c r="C961" s="3" t="s">
        <v>22</v>
      </c>
      <c r="D961" s="3" t="s">
        <v>22</v>
      </c>
      <c r="E961" s="3" t="s">
        <v>26</v>
      </c>
      <c r="F961" s="5">
        <v>429.93</v>
      </c>
      <c r="G961" s="3" t="s">
        <v>19</v>
      </c>
      <c r="H961" s="3" t="s">
        <v>14</v>
      </c>
      <c r="I961" s="8">
        <f t="shared" si="14"/>
        <v>45566</v>
      </c>
    </row>
    <row r="962" spans="1:9" x14ac:dyDescent="0.25">
      <c r="A962" s="7" t="s">
        <v>1052</v>
      </c>
      <c r="B962" s="4">
        <v>45582</v>
      </c>
      <c r="C962" s="3" t="s">
        <v>10</v>
      </c>
      <c r="D962" s="3" t="s">
        <v>30</v>
      </c>
      <c r="E962" s="3" t="s">
        <v>31</v>
      </c>
      <c r="F962" s="5">
        <v>53.92</v>
      </c>
      <c r="G962" s="3" t="s">
        <v>52</v>
      </c>
      <c r="H962" s="3" t="s">
        <v>14</v>
      </c>
      <c r="I962" s="8">
        <f t="shared" si="14"/>
        <v>45566</v>
      </c>
    </row>
    <row r="963" spans="1:9" x14ac:dyDescent="0.25">
      <c r="A963" s="7" t="s">
        <v>1053</v>
      </c>
      <c r="B963" s="4">
        <v>45583</v>
      </c>
      <c r="C963" s="3" t="s">
        <v>54</v>
      </c>
      <c r="D963" s="3" t="s">
        <v>50</v>
      </c>
      <c r="E963" s="3" t="s">
        <v>51</v>
      </c>
      <c r="F963" s="5">
        <v>138</v>
      </c>
      <c r="G963" s="3" t="s">
        <v>52</v>
      </c>
      <c r="H963" s="3" t="s">
        <v>14</v>
      </c>
      <c r="I963" s="8">
        <f t="shared" si="14"/>
        <v>45566</v>
      </c>
    </row>
    <row r="964" spans="1:9" x14ac:dyDescent="0.25">
      <c r="A964" s="7" t="s">
        <v>1054</v>
      </c>
      <c r="B964" s="4">
        <v>45583</v>
      </c>
      <c r="C964" s="3" t="s">
        <v>54</v>
      </c>
      <c r="D964" s="3" t="s">
        <v>50</v>
      </c>
      <c r="E964" s="3" t="s">
        <v>166</v>
      </c>
      <c r="F964" s="5">
        <v>95.55</v>
      </c>
      <c r="G964" s="3" t="s">
        <v>24</v>
      </c>
      <c r="H964" s="3" t="s">
        <v>14</v>
      </c>
      <c r="I964" s="8">
        <f t="shared" si="14"/>
        <v>45566</v>
      </c>
    </row>
    <row r="965" spans="1:9" x14ac:dyDescent="0.25">
      <c r="A965" s="7" t="s">
        <v>1055</v>
      </c>
      <c r="B965" s="4">
        <v>45584</v>
      </c>
      <c r="C965" s="3" t="s">
        <v>39</v>
      </c>
      <c r="D965" s="3" t="s">
        <v>40</v>
      </c>
      <c r="E965" s="3" t="s">
        <v>148</v>
      </c>
      <c r="F965" s="5">
        <v>672.95</v>
      </c>
      <c r="G965" s="3" t="s">
        <v>19</v>
      </c>
      <c r="H965" s="3" t="s">
        <v>20</v>
      </c>
      <c r="I965" s="8">
        <f t="shared" ref="I965:I1004" si="15">DATE(YEAR(B965),MONTH(B965),1)</f>
        <v>45566</v>
      </c>
    </row>
    <row r="966" spans="1:9" x14ac:dyDescent="0.25">
      <c r="A966" s="7" t="s">
        <v>1056</v>
      </c>
      <c r="B966" s="4">
        <v>45584</v>
      </c>
      <c r="C966" s="3" t="s">
        <v>39</v>
      </c>
      <c r="D966" s="3" t="s">
        <v>46</v>
      </c>
      <c r="E966" s="3" t="s">
        <v>187</v>
      </c>
      <c r="F966" s="5">
        <v>436.63</v>
      </c>
      <c r="G966" s="3" t="s">
        <v>86</v>
      </c>
      <c r="H966" s="3" t="s">
        <v>14</v>
      </c>
      <c r="I966" s="8">
        <f t="shared" si="15"/>
        <v>45566</v>
      </c>
    </row>
    <row r="967" spans="1:9" x14ac:dyDescent="0.25">
      <c r="A967" s="7" t="s">
        <v>1057</v>
      </c>
      <c r="B967" s="4">
        <v>45584</v>
      </c>
      <c r="C967" s="3" t="s">
        <v>54</v>
      </c>
      <c r="D967" s="3" t="s">
        <v>22</v>
      </c>
      <c r="E967" s="3" t="s">
        <v>244</v>
      </c>
      <c r="F967" s="5">
        <v>1856.66</v>
      </c>
      <c r="G967" s="3" t="s">
        <v>19</v>
      </c>
      <c r="H967" s="3" t="s">
        <v>14</v>
      </c>
      <c r="I967" s="8">
        <f t="shared" si="15"/>
        <v>45566</v>
      </c>
    </row>
    <row r="968" spans="1:9" x14ac:dyDescent="0.25">
      <c r="A968" s="7" t="s">
        <v>1058</v>
      </c>
      <c r="B968" s="4">
        <v>45585</v>
      </c>
      <c r="C968" s="3" t="s">
        <v>22</v>
      </c>
      <c r="D968" s="3" t="s">
        <v>50</v>
      </c>
      <c r="E968" s="3" t="s">
        <v>51</v>
      </c>
      <c r="F968" s="5">
        <v>67.97</v>
      </c>
      <c r="G968" s="3" t="s">
        <v>52</v>
      </c>
      <c r="H968" s="3" t="s">
        <v>14</v>
      </c>
      <c r="I968" s="8">
        <f t="shared" si="15"/>
        <v>45566</v>
      </c>
    </row>
    <row r="969" spans="1:9" x14ac:dyDescent="0.25">
      <c r="A969" s="7" t="s">
        <v>1059</v>
      </c>
      <c r="B969" s="4">
        <v>45585</v>
      </c>
      <c r="C969" s="3" t="s">
        <v>54</v>
      </c>
      <c r="D969" s="3" t="s">
        <v>40</v>
      </c>
      <c r="E969" s="3" t="s">
        <v>148</v>
      </c>
      <c r="F969" s="5">
        <v>378.12</v>
      </c>
      <c r="G969" s="3" t="s">
        <v>19</v>
      </c>
      <c r="H969" s="3" t="s">
        <v>14</v>
      </c>
      <c r="I969" s="8">
        <f t="shared" si="15"/>
        <v>45566</v>
      </c>
    </row>
    <row r="970" spans="1:9" x14ac:dyDescent="0.25">
      <c r="A970" s="7" t="s">
        <v>1060</v>
      </c>
      <c r="B970" s="4">
        <v>45585</v>
      </c>
      <c r="C970" s="3" t="s">
        <v>29</v>
      </c>
      <c r="D970" s="3" t="s">
        <v>46</v>
      </c>
      <c r="E970" s="3" t="s">
        <v>187</v>
      </c>
      <c r="F970" s="5">
        <v>475.17</v>
      </c>
      <c r="G970" s="3" t="s">
        <v>86</v>
      </c>
      <c r="H970" s="3" t="s">
        <v>14</v>
      </c>
      <c r="I970" s="8">
        <f t="shared" si="15"/>
        <v>45566</v>
      </c>
    </row>
    <row r="971" spans="1:9" x14ac:dyDescent="0.25">
      <c r="A971" s="7" t="s">
        <v>1061</v>
      </c>
      <c r="B971" s="4">
        <v>45585</v>
      </c>
      <c r="C971" s="3" t="s">
        <v>39</v>
      </c>
      <c r="D971" s="3" t="s">
        <v>114</v>
      </c>
      <c r="E971" s="3" t="s">
        <v>199</v>
      </c>
      <c r="F971" s="5">
        <v>145.25</v>
      </c>
      <c r="G971" s="3" t="s">
        <v>24</v>
      </c>
      <c r="H971" s="3" t="s">
        <v>20</v>
      </c>
      <c r="I971" s="8">
        <f t="shared" si="15"/>
        <v>45566</v>
      </c>
    </row>
    <row r="972" spans="1:9" x14ac:dyDescent="0.25">
      <c r="A972" s="7" t="s">
        <v>1062</v>
      </c>
      <c r="B972" s="4">
        <v>45586</v>
      </c>
      <c r="C972" s="3" t="s">
        <v>16</v>
      </c>
      <c r="D972" s="3" t="s">
        <v>43</v>
      </c>
      <c r="E972" s="3" t="s">
        <v>336</v>
      </c>
      <c r="F972" s="5">
        <v>218.24</v>
      </c>
      <c r="G972" s="3" t="s">
        <v>13</v>
      </c>
      <c r="H972" s="3" t="s">
        <v>20</v>
      </c>
      <c r="I972" s="8">
        <f t="shared" si="15"/>
        <v>45566</v>
      </c>
    </row>
    <row r="973" spans="1:9" x14ac:dyDescent="0.25">
      <c r="A973" s="7" t="s">
        <v>1063</v>
      </c>
      <c r="B973" s="4">
        <v>45587</v>
      </c>
      <c r="C973" s="3" t="s">
        <v>49</v>
      </c>
      <c r="D973" s="3" t="s">
        <v>40</v>
      </c>
      <c r="E973" s="3" t="s">
        <v>130</v>
      </c>
      <c r="F973" s="5">
        <v>809.56</v>
      </c>
      <c r="G973" s="3" t="s">
        <v>19</v>
      </c>
      <c r="H973" s="3" t="s">
        <v>14</v>
      </c>
      <c r="I973" s="8">
        <f t="shared" si="15"/>
        <v>45566</v>
      </c>
    </row>
    <row r="974" spans="1:9" x14ac:dyDescent="0.25">
      <c r="A974" s="7" t="s">
        <v>1064</v>
      </c>
      <c r="B974" s="4">
        <v>45587</v>
      </c>
      <c r="C974" s="3" t="s">
        <v>10</v>
      </c>
      <c r="D974" s="3" t="s">
        <v>30</v>
      </c>
      <c r="E974" s="3" t="s">
        <v>169</v>
      </c>
      <c r="F974" s="5">
        <v>126.3</v>
      </c>
      <c r="G974" s="3" t="s">
        <v>19</v>
      </c>
      <c r="H974" s="3" t="s">
        <v>14</v>
      </c>
      <c r="I974" s="8">
        <f t="shared" si="15"/>
        <v>45566</v>
      </c>
    </row>
    <row r="975" spans="1:9" x14ac:dyDescent="0.25">
      <c r="A975" s="7" t="s">
        <v>1065</v>
      </c>
      <c r="B975" s="4">
        <v>45587</v>
      </c>
      <c r="C975" s="3" t="s">
        <v>22</v>
      </c>
      <c r="D975" s="3" t="s">
        <v>17</v>
      </c>
      <c r="E975" s="3" t="s">
        <v>68</v>
      </c>
      <c r="F975" s="5">
        <v>1051.8</v>
      </c>
      <c r="G975" s="3" t="s">
        <v>19</v>
      </c>
      <c r="H975" s="3" t="s">
        <v>14</v>
      </c>
      <c r="I975" s="8">
        <f t="shared" si="15"/>
        <v>45566</v>
      </c>
    </row>
    <row r="976" spans="1:9" x14ac:dyDescent="0.25">
      <c r="A976" s="7" t="s">
        <v>1066</v>
      </c>
      <c r="B976" s="4">
        <v>45588</v>
      </c>
      <c r="C976" s="3" t="s">
        <v>22</v>
      </c>
      <c r="D976" s="3" t="s">
        <v>40</v>
      </c>
      <c r="E976" s="3" t="s">
        <v>105</v>
      </c>
      <c r="F976" s="5">
        <v>719.95</v>
      </c>
      <c r="G976" s="3" t="s">
        <v>27</v>
      </c>
      <c r="H976" s="3" t="s">
        <v>20</v>
      </c>
      <c r="I976" s="8">
        <f t="shared" si="15"/>
        <v>45566</v>
      </c>
    </row>
    <row r="977" spans="1:9" x14ac:dyDescent="0.25">
      <c r="A977" s="7" t="s">
        <v>1067</v>
      </c>
      <c r="B977" s="4">
        <v>45588</v>
      </c>
      <c r="C977" s="3" t="s">
        <v>29</v>
      </c>
      <c r="D977" s="3" t="s">
        <v>30</v>
      </c>
      <c r="E977" s="3" t="s">
        <v>31</v>
      </c>
      <c r="F977" s="5">
        <v>166.1</v>
      </c>
      <c r="G977" s="3" t="s">
        <v>24</v>
      </c>
      <c r="H977" s="3" t="s">
        <v>14</v>
      </c>
      <c r="I977" s="8">
        <f t="shared" si="15"/>
        <v>45566</v>
      </c>
    </row>
    <row r="978" spans="1:9" x14ac:dyDescent="0.25">
      <c r="A978" s="7" t="s">
        <v>1068</v>
      </c>
      <c r="B978" s="4">
        <v>45589</v>
      </c>
      <c r="C978" s="3" t="s">
        <v>54</v>
      </c>
      <c r="D978" s="3" t="s">
        <v>17</v>
      </c>
      <c r="E978" s="3" t="s">
        <v>171</v>
      </c>
      <c r="F978" s="5">
        <v>1456.49</v>
      </c>
      <c r="G978" s="3" t="s">
        <v>24</v>
      </c>
      <c r="H978" s="3" t="s">
        <v>14</v>
      </c>
      <c r="I978" s="8">
        <f t="shared" si="15"/>
        <v>45566</v>
      </c>
    </row>
    <row r="979" spans="1:9" x14ac:dyDescent="0.25">
      <c r="A979" s="7" t="s">
        <v>1069</v>
      </c>
      <c r="B979" s="4">
        <v>45589</v>
      </c>
      <c r="C979" s="3" t="s">
        <v>49</v>
      </c>
      <c r="D979" s="3" t="s">
        <v>17</v>
      </c>
      <c r="E979" s="3" t="s">
        <v>136</v>
      </c>
      <c r="F979" s="5">
        <v>1405.23</v>
      </c>
      <c r="G979" s="3" t="s">
        <v>19</v>
      </c>
      <c r="H979" s="3" t="s">
        <v>20</v>
      </c>
      <c r="I979" s="8">
        <f t="shared" si="15"/>
        <v>45566</v>
      </c>
    </row>
    <row r="980" spans="1:9" x14ac:dyDescent="0.25">
      <c r="A980" s="7" t="s">
        <v>1070</v>
      </c>
      <c r="B980" s="4">
        <v>45589</v>
      </c>
      <c r="C980" s="3" t="s">
        <v>16</v>
      </c>
      <c r="D980" s="3" t="s">
        <v>82</v>
      </c>
      <c r="E980" s="3" t="s">
        <v>83</v>
      </c>
      <c r="F980" s="5">
        <v>419.4</v>
      </c>
      <c r="G980" s="3" t="s">
        <v>27</v>
      </c>
      <c r="H980" s="3" t="s">
        <v>14</v>
      </c>
      <c r="I980" s="8">
        <f t="shared" si="15"/>
        <v>45566</v>
      </c>
    </row>
    <row r="981" spans="1:9" x14ac:dyDescent="0.25">
      <c r="A981" s="7" t="s">
        <v>1071</v>
      </c>
      <c r="B981" s="4">
        <v>45590</v>
      </c>
      <c r="C981" s="3" t="s">
        <v>54</v>
      </c>
      <c r="D981" s="3" t="s">
        <v>82</v>
      </c>
      <c r="E981" s="3" t="s">
        <v>227</v>
      </c>
      <c r="F981" s="5">
        <v>484.36</v>
      </c>
      <c r="G981" s="3" t="s">
        <v>27</v>
      </c>
      <c r="H981" s="3" t="s">
        <v>20</v>
      </c>
      <c r="I981" s="8">
        <f t="shared" si="15"/>
        <v>45566</v>
      </c>
    </row>
    <row r="982" spans="1:9" x14ac:dyDescent="0.25">
      <c r="A982" s="7" t="s">
        <v>1072</v>
      </c>
      <c r="B982" s="4">
        <v>45590</v>
      </c>
      <c r="C982" s="3" t="s">
        <v>49</v>
      </c>
      <c r="D982" s="3" t="s">
        <v>30</v>
      </c>
      <c r="E982" s="3" t="s">
        <v>65</v>
      </c>
      <c r="F982" s="5">
        <v>131.66</v>
      </c>
      <c r="G982" s="3" t="s">
        <v>24</v>
      </c>
      <c r="H982" s="3" t="s">
        <v>20</v>
      </c>
      <c r="I982" s="8">
        <f t="shared" si="15"/>
        <v>45566</v>
      </c>
    </row>
    <row r="983" spans="1:9" x14ac:dyDescent="0.25">
      <c r="A983" s="7" t="s">
        <v>1073</v>
      </c>
      <c r="B983" s="4">
        <v>45591</v>
      </c>
      <c r="C983" s="3" t="s">
        <v>54</v>
      </c>
      <c r="D983" s="3" t="s">
        <v>43</v>
      </c>
      <c r="E983" s="3" t="s">
        <v>44</v>
      </c>
      <c r="F983" s="5">
        <v>50.22</v>
      </c>
      <c r="G983" s="3" t="s">
        <v>13</v>
      </c>
      <c r="H983" s="3" t="s">
        <v>14</v>
      </c>
      <c r="I983" s="8">
        <f t="shared" si="15"/>
        <v>45566</v>
      </c>
    </row>
    <row r="984" spans="1:9" x14ac:dyDescent="0.25">
      <c r="A984" s="7" t="s">
        <v>1074</v>
      </c>
      <c r="B984" s="4">
        <v>45591</v>
      </c>
      <c r="C984" s="3" t="s">
        <v>10</v>
      </c>
      <c r="D984" s="3" t="s">
        <v>50</v>
      </c>
      <c r="E984" s="3" t="s">
        <v>70</v>
      </c>
      <c r="F984" s="5">
        <v>111.57</v>
      </c>
      <c r="G984" s="3" t="s">
        <v>24</v>
      </c>
      <c r="H984" s="3" t="s">
        <v>14</v>
      </c>
      <c r="I984" s="8">
        <f t="shared" si="15"/>
        <v>45566</v>
      </c>
    </row>
    <row r="985" spans="1:9" x14ac:dyDescent="0.25">
      <c r="A985" s="7" t="s">
        <v>1075</v>
      </c>
      <c r="B985" s="4">
        <v>45591</v>
      </c>
      <c r="C985" s="3" t="s">
        <v>22</v>
      </c>
      <c r="D985" s="3" t="s">
        <v>50</v>
      </c>
      <c r="E985" s="3" t="s">
        <v>62</v>
      </c>
      <c r="F985" s="5">
        <v>92.49</v>
      </c>
      <c r="G985" s="3" t="s">
        <v>24</v>
      </c>
      <c r="H985" s="3" t="s">
        <v>14</v>
      </c>
      <c r="I985" s="8">
        <f t="shared" si="15"/>
        <v>45566</v>
      </c>
    </row>
    <row r="986" spans="1:9" x14ac:dyDescent="0.25">
      <c r="A986" s="7" t="s">
        <v>1076</v>
      </c>
      <c r="B986" s="4">
        <v>45591</v>
      </c>
      <c r="C986" s="3" t="s">
        <v>54</v>
      </c>
      <c r="D986" s="3" t="s">
        <v>50</v>
      </c>
      <c r="E986" s="3" t="s">
        <v>166</v>
      </c>
      <c r="F986" s="5">
        <v>92.29</v>
      </c>
      <c r="G986" s="3" t="s">
        <v>24</v>
      </c>
      <c r="H986" s="3" t="s">
        <v>14</v>
      </c>
      <c r="I986" s="8">
        <f t="shared" si="15"/>
        <v>45566</v>
      </c>
    </row>
    <row r="987" spans="1:9" x14ac:dyDescent="0.25">
      <c r="A987" s="7" t="s">
        <v>1077</v>
      </c>
      <c r="B987" s="4">
        <v>45592</v>
      </c>
      <c r="C987" s="3" t="s">
        <v>16</v>
      </c>
      <c r="D987" s="3" t="s">
        <v>82</v>
      </c>
      <c r="E987" s="3" t="s">
        <v>227</v>
      </c>
      <c r="F987" s="5">
        <v>498.83</v>
      </c>
      <c r="G987" s="3" t="s">
        <v>13</v>
      </c>
      <c r="H987" s="3" t="s">
        <v>14</v>
      </c>
      <c r="I987" s="8">
        <f t="shared" si="15"/>
        <v>45566</v>
      </c>
    </row>
    <row r="988" spans="1:9" x14ac:dyDescent="0.25">
      <c r="A988" s="7" t="s">
        <v>1078</v>
      </c>
      <c r="B988" s="4">
        <v>45593</v>
      </c>
      <c r="C988" s="3" t="s">
        <v>10</v>
      </c>
      <c r="D988" s="3" t="s">
        <v>30</v>
      </c>
      <c r="E988" s="3" t="s">
        <v>34</v>
      </c>
      <c r="F988" s="5">
        <v>76.89</v>
      </c>
      <c r="G988" s="3" t="s">
        <v>19</v>
      </c>
      <c r="H988" s="3" t="s">
        <v>14</v>
      </c>
      <c r="I988" s="8">
        <f t="shared" si="15"/>
        <v>45566</v>
      </c>
    </row>
    <row r="989" spans="1:9" x14ac:dyDescent="0.25">
      <c r="A989" s="7" t="s">
        <v>1079</v>
      </c>
      <c r="B989" s="4">
        <v>45593</v>
      </c>
      <c r="C989" s="3" t="s">
        <v>54</v>
      </c>
      <c r="D989" s="3" t="s">
        <v>50</v>
      </c>
      <c r="E989" s="3" t="s">
        <v>70</v>
      </c>
      <c r="F989" s="5">
        <v>24.68</v>
      </c>
      <c r="G989" s="3" t="s">
        <v>52</v>
      </c>
      <c r="H989" s="3" t="s">
        <v>20</v>
      </c>
      <c r="I989" s="8">
        <f t="shared" si="15"/>
        <v>45566</v>
      </c>
    </row>
    <row r="990" spans="1:9" x14ac:dyDescent="0.25">
      <c r="A990" s="7" t="s">
        <v>1080</v>
      </c>
      <c r="B990" s="4">
        <v>45593</v>
      </c>
      <c r="C990" s="3" t="s">
        <v>49</v>
      </c>
      <c r="D990" s="3" t="s">
        <v>50</v>
      </c>
      <c r="E990" s="3" t="s">
        <v>62</v>
      </c>
      <c r="F990" s="5">
        <v>104.71</v>
      </c>
      <c r="G990" s="3" t="s">
        <v>52</v>
      </c>
      <c r="H990" s="3" t="s">
        <v>20</v>
      </c>
      <c r="I990" s="8">
        <f t="shared" si="15"/>
        <v>45566</v>
      </c>
    </row>
    <row r="991" spans="1:9" x14ac:dyDescent="0.25">
      <c r="A991" s="7" t="s">
        <v>1081</v>
      </c>
      <c r="B991" s="4">
        <v>45593</v>
      </c>
      <c r="C991" s="3" t="s">
        <v>22</v>
      </c>
      <c r="D991" s="3" t="s">
        <v>114</v>
      </c>
      <c r="E991" s="3" t="s">
        <v>117</v>
      </c>
      <c r="F991" s="5">
        <v>80.62</v>
      </c>
      <c r="G991" s="3" t="s">
        <v>19</v>
      </c>
      <c r="H991" s="3" t="s">
        <v>14</v>
      </c>
      <c r="I991" s="8">
        <f t="shared" si="15"/>
        <v>45566</v>
      </c>
    </row>
    <row r="992" spans="1:9" x14ac:dyDescent="0.25">
      <c r="A992" s="7" t="s">
        <v>1082</v>
      </c>
      <c r="B992" s="4">
        <v>45593</v>
      </c>
      <c r="C992" s="3" t="s">
        <v>16</v>
      </c>
      <c r="D992" s="3" t="s">
        <v>40</v>
      </c>
      <c r="E992" s="3" t="s">
        <v>148</v>
      </c>
      <c r="F992" s="5">
        <v>254.82</v>
      </c>
      <c r="G992" s="3" t="s">
        <v>19</v>
      </c>
      <c r="H992" s="3" t="s">
        <v>20</v>
      </c>
      <c r="I992" s="8">
        <f t="shared" si="15"/>
        <v>45566</v>
      </c>
    </row>
    <row r="993" spans="1:9" x14ac:dyDescent="0.25">
      <c r="A993" s="7" t="s">
        <v>1083</v>
      </c>
      <c r="B993" s="4">
        <v>45593</v>
      </c>
      <c r="C993" s="3" t="s">
        <v>22</v>
      </c>
      <c r="D993" s="3" t="s">
        <v>43</v>
      </c>
      <c r="E993" s="3" t="s">
        <v>85</v>
      </c>
      <c r="F993" s="5">
        <v>339.04</v>
      </c>
      <c r="G993" s="3" t="s">
        <v>86</v>
      </c>
      <c r="H993" s="3" t="s">
        <v>14</v>
      </c>
      <c r="I993" s="8">
        <f t="shared" si="15"/>
        <v>45566</v>
      </c>
    </row>
    <row r="994" spans="1:9" x14ac:dyDescent="0.25">
      <c r="A994" s="7" t="s">
        <v>1084</v>
      </c>
      <c r="B994" s="4">
        <v>45593</v>
      </c>
      <c r="C994" s="3" t="s">
        <v>16</v>
      </c>
      <c r="D994" s="3" t="s">
        <v>40</v>
      </c>
      <c r="E994" s="3" t="s">
        <v>182</v>
      </c>
      <c r="F994" s="5">
        <v>215.47</v>
      </c>
      <c r="G994" s="3" t="s">
        <v>27</v>
      </c>
      <c r="H994" s="3" t="s">
        <v>14</v>
      </c>
      <c r="I994" s="8">
        <f t="shared" si="15"/>
        <v>45566</v>
      </c>
    </row>
    <row r="995" spans="1:9" x14ac:dyDescent="0.25">
      <c r="A995" s="7" t="s">
        <v>1085</v>
      </c>
      <c r="B995" s="4">
        <v>45594</v>
      </c>
      <c r="C995" s="3" t="s">
        <v>39</v>
      </c>
      <c r="D995" s="3" t="s">
        <v>50</v>
      </c>
      <c r="E995" s="3" t="s">
        <v>70</v>
      </c>
      <c r="F995" s="5">
        <v>42.13</v>
      </c>
      <c r="G995" s="3" t="s">
        <v>52</v>
      </c>
      <c r="H995" s="3" t="s">
        <v>14</v>
      </c>
      <c r="I995" s="8">
        <f t="shared" si="15"/>
        <v>45566</v>
      </c>
    </row>
    <row r="996" spans="1:9" x14ac:dyDescent="0.25">
      <c r="A996" s="7" t="s">
        <v>1086</v>
      </c>
      <c r="B996" s="4">
        <v>45594</v>
      </c>
      <c r="C996" s="3" t="s">
        <v>10</v>
      </c>
      <c r="D996" s="3" t="s">
        <v>50</v>
      </c>
      <c r="E996" s="3" t="s">
        <v>70</v>
      </c>
      <c r="F996" s="5">
        <v>65.36</v>
      </c>
      <c r="G996" s="3" t="s">
        <v>52</v>
      </c>
      <c r="H996" s="3" t="s">
        <v>14</v>
      </c>
      <c r="I996" s="8">
        <f t="shared" si="15"/>
        <v>45566</v>
      </c>
    </row>
    <row r="997" spans="1:9" x14ac:dyDescent="0.25">
      <c r="A997" s="7" t="s">
        <v>1087</v>
      </c>
      <c r="B997" s="4">
        <v>45594</v>
      </c>
      <c r="C997" s="3" t="s">
        <v>39</v>
      </c>
      <c r="D997" s="3" t="s">
        <v>17</v>
      </c>
      <c r="E997" s="3" t="s">
        <v>23</v>
      </c>
      <c r="F997" s="5">
        <v>1249.3800000000001</v>
      </c>
      <c r="G997" s="3" t="s">
        <v>24</v>
      </c>
      <c r="H997" s="3" t="s">
        <v>14</v>
      </c>
      <c r="I997" s="8">
        <f t="shared" si="15"/>
        <v>45566</v>
      </c>
    </row>
    <row r="998" spans="1:9" x14ac:dyDescent="0.25">
      <c r="A998" s="7" t="s">
        <v>1088</v>
      </c>
      <c r="B998" s="4">
        <v>45595</v>
      </c>
      <c r="C998" s="3" t="s">
        <v>22</v>
      </c>
      <c r="D998" s="3" t="s">
        <v>30</v>
      </c>
      <c r="E998" s="3" t="s">
        <v>60</v>
      </c>
      <c r="F998" s="5">
        <v>17.920000000000002</v>
      </c>
      <c r="G998" s="3" t="s">
        <v>52</v>
      </c>
      <c r="H998" s="3" t="s">
        <v>14</v>
      </c>
      <c r="I998" s="8">
        <f t="shared" si="15"/>
        <v>45566</v>
      </c>
    </row>
    <row r="999" spans="1:9" x14ac:dyDescent="0.25">
      <c r="A999" s="7" t="s">
        <v>1089</v>
      </c>
      <c r="B999" s="4">
        <v>45595</v>
      </c>
      <c r="C999" s="3" t="s">
        <v>16</v>
      </c>
      <c r="D999" s="3" t="s">
        <v>36</v>
      </c>
      <c r="E999" s="3" t="s">
        <v>88</v>
      </c>
      <c r="F999" s="5">
        <v>219.99</v>
      </c>
      <c r="G999" s="3" t="s">
        <v>19</v>
      </c>
      <c r="H999" s="3" t="s">
        <v>14</v>
      </c>
      <c r="I999" s="8">
        <f t="shared" si="15"/>
        <v>45566</v>
      </c>
    </row>
    <row r="1000" spans="1:9" x14ac:dyDescent="0.25">
      <c r="A1000" s="7" t="s">
        <v>1090</v>
      </c>
      <c r="B1000" s="4">
        <v>45596</v>
      </c>
      <c r="C1000" s="3" t="s">
        <v>22</v>
      </c>
      <c r="D1000" s="3" t="s">
        <v>40</v>
      </c>
      <c r="E1000" s="3" t="s">
        <v>130</v>
      </c>
      <c r="F1000" s="5">
        <v>21.47</v>
      </c>
      <c r="G1000" s="3" t="s">
        <v>19</v>
      </c>
      <c r="H1000" s="3" t="s">
        <v>14</v>
      </c>
      <c r="I1000" s="8">
        <f t="shared" si="15"/>
        <v>45566</v>
      </c>
    </row>
    <row r="1001" spans="1:9" x14ac:dyDescent="0.25">
      <c r="A1001" s="7" t="s">
        <v>1091</v>
      </c>
      <c r="B1001" s="4">
        <v>45596</v>
      </c>
      <c r="C1001" s="3" t="s">
        <v>49</v>
      </c>
      <c r="D1001" s="3" t="s">
        <v>114</v>
      </c>
      <c r="E1001" s="3" t="s">
        <v>117</v>
      </c>
      <c r="F1001" s="5">
        <v>695.93</v>
      </c>
      <c r="G1001" s="3" t="s">
        <v>19</v>
      </c>
      <c r="H1001" s="3" t="s">
        <v>14</v>
      </c>
      <c r="I1001" s="8">
        <f t="shared" si="15"/>
        <v>45566</v>
      </c>
    </row>
    <row r="1002" spans="1:9" x14ac:dyDescent="0.25">
      <c r="A1002" s="7" t="s">
        <v>1092</v>
      </c>
      <c r="B1002" s="4">
        <v>45596</v>
      </c>
      <c r="C1002" s="3" t="s">
        <v>16</v>
      </c>
      <c r="D1002" s="3" t="s">
        <v>17</v>
      </c>
      <c r="E1002" s="3" t="s">
        <v>171</v>
      </c>
      <c r="F1002" s="5">
        <v>1257.71</v>
      </c>
      <c r="G1002" s="3" t="s">
        <v>19</v>
      </c>
      <c r="H1002" s="3" t="s">
        <v>14</v>
      </c>
      <c r="I1002" s="8">
        <f t="shared" si="15"/>
        <v>45566</v>
      </c>
    </row>
    <row r="1003" spans="1:9" x14ac:dyDescent="0.25">
      <c r="A1003" s="7" t="s">
        <v>1093</v>
      </c>
      <c r="B1003" s="4">
        <v>45596</v>
      </c>
      <c r="C1003" s="3" t="s">
        <v>54</v>
      </c>
      <c r="D1003" s="3" t="s">
        <v>40</v>
      </c>
      <c r="E1003" s="3" t="s">
        <v>58</v>
      </c>
      <c r="F1003" s="5">
        <v>756.13</v>
      </c>
      <c r="G1003" s="3" t="s">
        <v>27</v>
      </c>
      <c r="H1003" s="3" t="s">
        <v>14</v>
      </c>
      <c r="I1003" s="8">
        <f t="shared" si="15"/>
        <v>45566</v>
      </c>
    </row>
    <row r="1004" spans="1:9" x14ac:dyDescent="0.25">
      <c r="A1004" s="12" t="s">
        <v>1094</v>
      </c>
      <c r="B1004" s="13">
        <v>45596</v>
      </c>
      <c r="C1004" s="14" t="s">
        <v>16</v>
      </c>
      <c r="D1004" s="14" t="s">
        <v>30</v>
      </c>
      <c r="E1004" s="14" t="s">
        <v>65</v>
      </c>
      <c r="F1004" s="15">
        <v>207.99</v>
      </c>
      <c r="G1004" s="14" t="s">
        <v>24</v>
      </c>
      <c r="H1004" s="14" t="s">
        <v>20</v>
      </c>
      <c r="I1004" s="16">
        <f t="shared" si="15"/>
        <v>45566</v>
      </c>
    </row>
  </sheetData>
  <mergeCells count="1">
    <mergeCell ref="A1:I1"/>
  </mergeCells>
  <dataValidations count="4">
    <dataValidation type="list" allowBlank="1" showInputMessage="1" showErrorMessage="1" sqref="C5" xr:uid="{7DCBB49D-B3BD-4641-973E-8492F42A140A}">
      <formula1>$C$5:$C$1004</formula1>
    </dataValidation>
    <dataValidation type="list" allowBlank="1" showInputMessage="1" showErrorMessage="1" sqref="G5:G1004" xr:uid="{ABA62A8B-19C8-4134-B519-2DE89E463A14}">
      <formula1>$G$4:$G$1004</formula1>
    </dataValidation>
    <dataValidation type="decimal" operator="greaterThan" allowBlank="1" showInputMessage="1" showErrorMessage="1" sqref="F4" xr:uid="{BFE67ECD-A0DD-4D57-A808-B27F0E0F2E53}">
      <formula1>0</formula1>
    </dataValidation>
    <dataValidation type="date" allowBlank="1" showInputMessage="1" showErrorMessage="1" sqref="B4" xr:uid="{118A1A36-F20A-4BAC-A518-8C9731E7326D}">
      <formula1>45292</formula1>
      <formula2>45657</formula2>
    </dataValidation>
  </dataValidations>
  <pageMargins left="0.75" right="0.75" top="1" bottom="1" header="0.511811023622047" footer="0.511811023622047"/>
  <pageSetup paperSize="9" orientation="portrait" horizontalDpi="300" verticalDpi="300"/>
  <ignoredErrors>
    <ignoredError sqref="B4" listDataValidatio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EB031-6C4A-43C0-9435-C8D0C79E6B11}">
          <x14:formula1>
            <xm:f>Lists!$C$2:$C$4</xm:f>
          </x14:formula1>
          <xm:sqref>H4</xm:sqref>
        </x14:dataValidation>
        <x14:dataValidation type="list" allowBlank="1" showInputMessage="1" showErrorMessage="1" xr:uid="{AB210E0F-3659-400B-AAC5-E0CAB911F0EA}">
          <x14:formula1>
            <xm:f>Categories!$A$5:$A$16</xm:f>
          </x14:formula1>
          <xm:sqref>D4</xm:sqref>
        </x14:dataValidation>
        <x14:dataValidation type="list" allowBlank="1" showInputMessage="1" showErrorMessage="1" xr:uid="{EB1C98EE-906C-41FD-A8FC-D5665F2BF192}">
          <x14:formula1>
            <xm:f>Lists!$A$2:$A$9</xm:f>
          </x14:formula1>
          <xm:sqref>C4</xm:sqref>
        </x14:dataValidation>
        <x14:dataValidation type="list" allowBlank="1" showInputMessage="1" showErrorMessage="1" xr:uid="{8FA9ADBB-2DEF-4A97-A5E2-E8DFFE837719}">
          <x14:formula1>
            <xm:f>Lists!$B$2:$B$7</xm:f>
          </x14:formula1>
          <xm:sqref>G4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>
      <pane ySplit="4" topLeftCell="A5" activePane="bottomLeft" state="frozen"/>
      <selection pane="bottomLeft" sqref="A1:C1"/>
    </sheetView>
  </sheetViews>
  <sheetFormatPr defaultColWidth="8.7109375" defaultRowHeight="15" x14ac:dyDescent="0.25"/>
  <cols>
    <col min="1" max="1" width="26" customWidth="1"/>
    <col min="2" max="2" width="20" customWidth="1"/>
    <col min="3" max="3" width="60" customWidth="1"/>
  </cols>
  <sheetData>
    <row r="1" spans="1:3" ht="16.5" x14ac:dyDescent="0.25">
      <c r="A1" s="34" t="s">
        <v>1095</v>
      </c>
      <c r="B1" s="34"/>
      <c r="C1" s="34"/>
    </row>
    <row r="2" spans="1:3" x14ac:dyDescent="0.25">
      <c r="A2" s="1" t="s">
        <v>1096</v>
      </c>
    </row>
    <row r="4" spans="1:3" ht="30" x14ac:dyDescent="0.25">
      <c r="A4" s="2" t="s">
        <v>3</v>
      </c>
      <c r="B4" s="2" t="s">
        <v>1097</v>
      </c>
      <c r="C4" s="2" t="s">
        <v>1098</v>
      </c>
    </row>
    <row r="5" spans="1:3" x14ac:dyDescent="0.25">
      <c r="A5" s="3" t="s">
        <v>17</v>
      </c>
      <c r="B5" s="6">
        <v>13400</v>
      </c>
      <c r="C5" s="3" t="s">
        <v>1099</v>
      </c>
    </row>
    <row r="6" spans="1:3" x14ac:dyDescent="0.25">
      <c r="A6" s="3" t="s">
        <v>30</v>
      </c>
      <c r="B6" s="6">
        <v>2200</v>
      </c>
      <c r="C6" s="3" t="s">
        <v>1100</v>
      </c>
    </row>
    <row r="7" spans="1:3" x14ac:dyDescent="0.25">
      <c r="A7" s="3" t="s">
        <v>36</v>
      </c>
      <c r="B7" s="6">
        <v>900</v>
      </c>
      <c r="C7" s="3" t="s">
        <v>1101</v>
      </c>
    </row>
    <row r="8" spans="1:3" x14ac:dyDescent="0.25">
      <c r="A8" s="3" t="s">
        <v>40</v>
      </c>
      <c r="B8" s="6">
        <v>4400</v>
      </c>
      <c r="C8" s="3" t="s">
        <v>1102</v>
      </c>
    </row>
    <row r="9" spans="1:3" x14ac:dyDescent="0.25">
      <c r="A9" s="3" t="s">
        <v>46</v>
      </c>
      <c r="B9" s="6">
        <v>2200</v>
      </c>
      <c r="C9" s="3" t="s">
        <v>1103</v>
      </c>
    </row>
    <row r="10" spans="1:3" x14ac:dyDescent="0.25">
      <c r="A10" s="3" t="s">
        <v>11</v>
      </c>
      <c r="B10" s="6">
        <v>15000</v>
      </c>
      <c r="C10" s="3" t="s">
        <v>12</v>
      </c>
    </row>
    <row r="11" spans="1:3" x14ac:dyDescent="0.25">
      <c r="A11" s="3" t="s">
        <v>22</v>
      </c>
      <c r="B11" s="6">
        <v>14300</v>
      </c>
      <c r="C11" s="3" t="s">
        <v>1104</v>
      </c>
    </row>
    <row r="12" spans="1:3" x14ac:dyDescent="0.25">
      <c r="A12" s="3" t="s">
        <v>114</v>
      </c>
      <c r="B12" s="6">
        <v>4200</v>
      </c>
      <c r="C12" s="3" t="s">
        <v>1105</v>
      </c>
    </row>
    <row r="13" spans="1:3" x14ac:dyDescent="0.25">
      <c r="A13" s="3" t="s">
        <v>55</v>
      </c>
      <c r="B13" s="6">
        <v>5500</v>
      </c>
      <c r="C13" s="3" t="s">
        <v>1106</v>
      </c>
    </row>
    <row r="14" spans="1:3" x14ac:dyDescent="0.25">
      <c r="A14" s="3" t="s">
        <v>43</v>
      </c>
      <c r="B14" s="6">
        <v>1400</v>
      </c>
      <c r="C14" s="3" t="s">
        <v>1107</v>
      </c>
    </row>
    <row r="15" spans="1:3" x14ac:dyDescent="0.25">
      <c r="A15" s="3" t="s">
        <v>82</v>
      </c>
      <c r="B15" s="6">
        <v>8500</v>
      </c>
      <c r="C15" s="3" t="s">
        <v>1108</v>
      </c>
    </row>
    <row r="16" spans="1:3" x14ac:dyDescent="0.25">
      <c r="A16" s="3" t="s">
        <v>50</v>
      </c>
      <c r="B16" s="6">
        <v>1300</v>
      </c>
      <c r="C16" s="3" t="s">
        <v>1109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A67F-03D0-4F20-B1D3-18B425041227}">
  <dimension ref="A3:Q30"/>
  <sheetViews>
    <sheetView tabSelected="1" zoomScale="80" zoomScaleNormal="100" workbookViewId="0">
      <selection activeCell="E23" sqref="E23"/>
    </sheetView>
  </sheetViews>
  <sheetFormatPr defaultColWidth="15.140625" defaultRowHeight="15" x14ac:dyDescent="0.25"/>
  <cols>
    <col min="1" max="1" width="23" style="17" customWidth="1"/>
    <col min="2" max="2" width="19.28515625" style="17" customWidth="1"/>
    <col min="3" max="16384" width="15.140625" style="17"/>
  </cols>
  <sheetData>
    <row r="3" spans="1:17" ht="15.75" thickBot="1" x14ac:dyDescent="0.3"/>
    <row r="4" spans="1:17" s="18" customFormat="1" x14ac:dyDescent="0.25">
      <c r="A4" s="62" t="s">
        <v>3</v>
      </c>
      <c r="B4" s="63" t="s">
        <v>1113</v>
      </c>
      <c r="C4" s="64">
        <v>45292</v>
      </c>
      <c r="D4" s="64">
        <v>45323</v>
      </c>
      <c r="E4" s="64">
        <v>45352</v>
      </c>
      <c r="F4" s="64">
        <v>45383</v>
      </c>
      <c r="G4" s="64">
        <v>45413</v>
      </c>
      <c r="H4" s="64">
        <v>45444</v>
      </c>
      <c r="I4" s="64">
        <v>45474</v>
      </c>
      <c r="J4" s="64">
        <v>45505</v>
      </c>
      <c r="K4" s="64">
        <v>45536</v>
      </c>
      <c r="L4" s="64">
        <v>45566</v>
      </c>
      <c r="M4" s="63" t="s">
        <v>1114</v>
      </c>
      <c r="N4" s="63" t="s">
        <v>1115</v>
      </c>
      <c r="O4" s="63" t="s">
        <v>1116</v>
      </c>
      <c r="P4" s="63" t="s">
        <v>1117</v>
      </c>
      <c r="Q4" s="65" t="s">
        <v>1118</v>
      </c>
    </row>
    <row r="5" spans="1:17" x14ac:dyDescent="0.25">
      <c r="A5" s="22" t="str">
        <f>Categories!A5</f>
        <v>Travel</v>
      </c>
      <c r="B5" s="20">
        <f>Categories!B5</f>
        <v>13400</v>
      </c>
      <c r="C5" s="21">
        <f>SUMIFS(Input!$F$5:$F$1004,Input!$D$5:$D$1004,$A5,Input!$I$5:$I$1004,C$4)</f>
        <v>10265.879999999999</v>
      </c>
      <c r="D5" s="21">
        <f>SUMIFS(Input!$F$5:$F$1004,Input!$D$5:$D$1004,$A5,Input!$I$5:$I$1004,D$4)</f>
        <v>11208.750000000002</v>
      </c>
      <c r="E5" s="21">
        <f>SUMIFS(Input!$F$5:$F$1004,Input!$D$5:$D$1004,$A5,Input!$I$5:$I$1004,E$4)</f>
        <v>12692.150000000001</v>
      </c>
      <c r="F5" s="21">
        <f>SUMIFS(Input!$F$5:$F$1004,Input!$D$5:$D$1004,$A5,Input!$I$5:$I$1004,F$4)</f>
        <v>12409.999999999998</v>
      </c>
      <c r="G5" s="21">
        <f>SUMIFS(Input!$F$5:$F$1004,Input!$D$5:$D$1004,$A5,Input!$I$5:$I$1004,G$4)</f>
        <v>11053.91</v>
      </c>
      <c r="H5" s="21">
        <f>SUMIFS(Input!$F$5:$F$1004,Input!$D$5:$D$1004,$A5,Input!$I$5:$I$1004,H$4)</f>
        <v>6305.8700000000008</v>
      </c>
      <c r="I5" s="21">
        <f>SUMIFS(Input!$F$5:$F$1004,Input!$D$5:$D$1004,$A5,Input!$I$5:$I$1004,I$4)</f>
        <v>11445.739999999996</v>
      </c>
      <c r="J5" s="21">
        <f>SUMIFS(Input!$F$5:$F$1004,Input!$D$5:$D$1004,$A5,Input!$I$5:$I$1004,J$4)</f>
        <v>16088.830000000002</v>
      </c>
      <c r="K5" s="21">
        <f>SUMIFS(Input!$F$5:$F$1004,Input!$D$5:$D$1004,$A5,Input!$I$5:$I$1004,K$4)</f>
        <v>12855.220000000001</v>
      </c>
      <c r="L5" s="21">
        <f>SUMIFS(Input!$F$5:$F$1004,Input!$D$5:$D$1004,$A5,Input!$I$5:$I$1004,L$4)</f>
        <v>18678.57</v>
      </c>
      <c r="M5" s="21">
        <f>SUM(C5:L5)</f>
        <v>123004.92000000001</v>
      </c>
      <c r="N5" s="19">
        <f>B5*COUNT($C$4:$L$4)</f>
        <v>134000</v>
      </c>
      <c r="O5" s="21">
        <f>N5-M5</f>
        <v>10995.079999999987</v>
      </c>
      <c r="P5" s="21">
        <f>IF(N5=0,0,M5/N5)</f>
        <v>0.9179471641791046</v>
      </c>
      <c r="Q5" s="23" t="str">
        <f>IF(P5&gt;1,"OVER BUDGET",IF(P5&gt;=0.8,"WARNING","OK"))</f>
        <v>WARNING</v>
      </c>
    </row>
    <row r="6" spans="1:17" x14ac:dyDescent="0.25">
      <c r="A6" s="22" t="str">
        <f>Categories!A6</f>
        <v>Meals &amp; Entertainment</v>
      </c>
      <c r="B6" s="20">
        <f>Categories!B6</f>
        <v>2200</v>
      </c>
      <c r="C6" s="21">
        <f>SUMIFS(Input!$F$5:$F$1004,Input!$D$5:$D$1004,$A6,Input!$I$5:$I$1004,C$4)</f>
        <v>2559.0400000000004</v>
      </c>
      <c r="D6" s="21">
        <f>SUMIFS(Input!$F$5:$F$1004,Input!$D$5:$D$1004,$A6,Input!$I$5:$I$1004,D$4)</f>
        <v>2861.6499999999996</v>
      </c>
      <c r="E6" s="21">
        <f>SUMIFS(Input!$F$5:$F$1004,Input!$D$5:$D$1004,$A6,Input!$I$5:$I$1004,E$4)</f>
        <v>2920.73</v>
      </c>
      <c r="F6" s="21">
        <f>SUMIFS(Input!$F$5:$F$1004,Input!$D$5:$D$1004,$A6,Input!$I$5:$I$1004,F$4)</f>
        <v>1605.8400000000001</v>
      </c>
      <c r="G6" s="21">
        <f>SUMIFS(Input!$F$5:$F$1004,Input!$D$5:$D$1004,$A6,Input!$I$5:$I$1004,G$4)</f>
        <v>3090.8999999999996</v>
      </c>
      <c r="H6" s="21">
        <f>SUMIFS(Input!$F$5:$F$1004,Input!$D$5:$D$1004,$A6,Input!$I$5:$I$1004,H$4)</f>
        <v>1931.6800000000003</v>
      </c>
      <c r="I6" s="21">
        <f>SUMIFS(Input!$F$5:$F$1004,Input!$D$5:$D$1004,$A6,Input!$I$5:$I$1004,I$4)</f>
        <v>751.79</v>
      </c>
      <c r="J6" s="21">
        <f>SUMIFS(Input!$F$5:$F$1004,Input!$D$5:$D$1004,$A6,Input!$I$5:$I$1004,J$4)</f>
        <v>2310.9300000000003</v>
      </c>
      <c r="K6" s="21">
        <f>SUMIFS(Input!$F$5:$F$1004,Input!$D$5:$D$1004,$A6,Input!$I$5:$I$1004,K$4)</f>
        <v>2181.9</v>
      </c>
      <c r="L6" s="21">
        <f>SUMIFS(Input!$F$5:$F$1004,Input!$D$5:$D$1004,$A6,Input!$I$5:$I$1004,L$4)</f>
        <v>1956.73</v>
      </c>
      <c r="M6" s="21">
        <f t="shared" ref="M6:M16" si="0">SUM(C6:L6)</f>
        <v>22171.190000000002</v>
      </c>
      <c r="N6" s="19">
        <f t="shared" ref="N6:N16" si="1">B6*COUNT($C$4:$L$4)</f>
        <v>22000</v>
      </c>
      <c r="O6" s="21">
        <f t="shared" ref="O6:O16" si="2">N6-M6</f>
        <v>-171.19000000000233</v>
      </c>
      <c r="P6" s="21">
        <f t="shared" ref="P6:P16" si="3">IF(N6=0,0,M6/N6)</f>
        <v>1.0077813636363637</v>
      </c>
      <c r="Q6" s="23" t="str">
        <f t="shared" ref="Q6:Q15" si="4">IF(P6&gt;1,"OVER BUDGET",IF(P6&gt;=0.8,"WARNING","OK"))</f>
        <v>OVER BUDGET</v>
      </c>
    </row>
    <row r="7" spans="1:17" x14ac:dyDescent="0.25">
      <c r="A7" s="22" t="str">
        <f>Categories!A7</f>
        <v>Office Supplies</v>
      </c>
      <c r="B7" s="20">
        <f>Categories!B7</f>
        <v>900</v>
      </c>
      <c r="C7" s="21">
        <f>SUMIFS(Input!$F$5:$F$1004,Input!$D$5:$D$1004,$A7,Input!$I$5:$I$1004,C$4)</f>
        <v>984</v>
      </c>
      <c r="D7" s="21">
        <f>SUMIFS(Input!$F$5:$F$1004,Input!$D$5:$D$1004,$A7,Input!$I$5:$I$1004,D$4)</f>
        <v>1258.71</v>
      </c>
      <c r="E7" s="21">
        <f>SUMIFS(Input!$F$5:$F$1004,Input!$D$5:$D$1004,$A7,Input!$I$5:$I$1004,E$4)</f>
        <v>961.5100000000001</v>
      </c>
      <c r="F7" s="21">
        <f>SUMIFS(Input!$F$5:$F$1004,Input!$D$5:$D$1004,$A7,Input!$I$5:$I$1004,F$4)</f>
        <v>1034.6600000000001</v>
      </c>
      <c r="G7" s="21">
        <f>SUMIFS(Input!$F$5:$F$1004,Input!$D$5:$D$1004,$A7,Input!$I$5:$I$1004,G$4)</f>
        <v>1054.5</v>
      </c>
      <c r="H7" s="21">
        <f>SUMIFS(Input!$F$5:$F$1004,Input!$D$5:$D$1004,$A7,Input!$I$5:$I$1004,H$4)</f>
        <v>778.32999999999993</v>
      </c>
      <c r="I7" s="21">
        <f>SUMIFS(Input!$F$5:$F$1004,Input!$D$5:$D$1004,$A7,Input!$I$5:$I$1004,I$4)</f>
        <v>727.32999999999993</v>
      </c>
      <c r="J7" s="21">
        <f>SUMIFS(Input!$F$5:$F$1004,Input!$D$5:$D$1004,$A7,Input!$I$5:$I$1004,J$4)</f>
        <v>1050.5899999999999</v>
      </c>
      <c r="K7" s="21">
        <f>SUMIFS(Input!$F$5:$F$1004,Input!$D$5:$D$1004,$A7,Input!$I$5:$I$1004,K$4)</f>
        <v>712.68000000000006</v>
      </c>
      <c r="L7" s="21">
        <f>SUMIFS(Input!$F$5:$F$1004,Input!$D$5:$D$1004,$A7,Input!$I$5:$I$1004,L$4)</f>
        <v>712.84</v>
      </c>
      <c r="M7" s="21">
        <f t="shared" si="0"/>
        <v>9275.15</v>
      </c>
      <c r="N7" s="19">
        <f t="shared" si="1"/>
        <v>9000</v>
      </c>
      <c r="O7" s="21">
        <f t="shared" si="2"/>
        <v>-275.14999999999964</v>
      </c>
      <c r="P7" s="21">
        <f t="shared" si="3"/>
        <v>1.0305722222222222</v>
      </c>
      <c r="Q7" s="23" t="str">
        <f t="shared" si="4"/>
        <v>OVER BUDGET</v>
      </c>
    </row>
    <row r="8" spans="1:17" x14ac:dyDescent="0.25">
      <c r="A8" s="22" t="str">
        <f>Categories!A8</f>
        <v>Software &amp; Subscriptions</v>
      </c>
      <c r="B8" s="20">
        <f>Categories!B8</f>
        <v>4400</v>
      </c>
      <c r="C8" s="21">
        <f>SUMIFS(Input!$F$5:$F$1004,Input!$D$5:$D$1004,$A8,Input!$I$5:$I$1004,C$4)</f>
        <v>4570.25</v>
      </c>
      <c r="D8" s="21">
        <f>SUMIFS(Input!$F$5:$F$1004,Input!$D$5:$D$1004,$A8,Input!$I$5:$I$1004,D$4)</f>
        <v>3676.3599999999997</v>
      </c>
      <c r="E8" s="21">
        <f>SUMIFS(Input!$F$5:$F$1004,Input!$D$5:$D$1004,$A8,Input!$I$5:$I$1004,E$4)</f>
        <v>4371.72</v>
      </c>
      <c r="F8" s="21">
        <f>SUMIFS(Input!$F$5:$F$1004,Input!$D$5:$D$1004,$A8,Input!$I$5:$I$1004,F$4)</f>
        <v>5032.25</v>
      </c>
      <c r="G8" s="21">
        <f>SUMIFS(Input!$F$5:$F$1004,Input!$D$5:$D$1004,$A8,Input!$I$5:$I$1004,G$4)</f>
        <v>6459.3799999999983</v>
      </c>
      <c r="H8" s="21">
        <f>SUMIFS(Input!$F$5:$F$1004,Input!$D$5:$D$1004,$A8,Input!$I$5:$I$1004,H$4)</f>
        <v>3595.5</v>
      </c>
      <c r="I8" s="21">
        <f>SUMIFS(Input!$F$5:$F$1004,Input!$D$5:$D$1004,$A8,Input!$I$5:$I$1004,I$4)</f>
        <v>4249.72</v>
      </c>
      <c r="J8" s="21">
        <f>SUMIFS(Input!$F$5:$F$1004,Input!$D$5:$D$1004,$A8,Input!$I$5:$I$1004,J$4)</f>
        <v>2177.81</v>
      </c>
      <c r="K8" s="21">
        <f>SUMIFS(Input!$F$5:$F$1004,Input!$D$5:$D$1004,$A8,Input!$I$5:$I$1004,K$4)</f>
        <v>1768.72</v>
      </c>
      <c r="L8" s="21">
        <f>SUMIFS(Input!$F$5:$F$1004,Input!$D$5:$D$1004,$A8,Input!$I$5:$I$1004,L$4)</f>
        <v>6215</v>
      </c>
      <c r="M8" s="21">
        <f t="shared" si="0"/>
        <v>42116.71</v>
      </c>
      <c r="N8" s="19">
        <f t="shared" si="1"/>
        <v>44000</v>
      </c>
      <c r="O8" s="21">
        <f t="shared" si="2"/>
        <v>1883.2900000000009</v>
      </c>
      <c r="P8" s="21">
        <f t="shared" si="3"/>
        <v>0.95719795454545453</v>
      </c>
      <c r="Q8" s="23" t="str">
        <f t="shared" si="4"/>
        <v>WARNING</v>
      </c>
    </row>
    <row r="9" spans="1:17" x14ac:dyDescent="0.25">
      <c r="A9" s="22" t="str">
        <f>Categories!A9</f>
        <v>Utilities</v>
      </c>
      <c r="B9" s="20">
        <f>Categories!B9</f>
        <v>2200</v>
      </c>
      <c r="C9" s="21">
        <f>SUMIFS(Input!$F$5:$F$1004,Input!$D$5:$D$1004,$A9,Input!$I$5:$I$1004,C$4)</f>
        <v>1414.37</v>
      </c>
      <c r="D9" s="21">
        <f>SUMIFS(Input!$F$5:$F$1004,Input!$D$5:$D$1004,$A9,Input!$I$5:$I$1004,D$4)</f>
        <v>4724.5</v>
      </c>
      <c r="E9" s="21">
        <f>SUMIFS(Input!$F$5:$F$1004,Input!$D$5:$D$1004,$A9,Input!$I$5:$I$1004,E$4)</f>
        <v>2162.62</v>
      </c>
      <c r="F9" s="21">
        <f>SUMIFS(Input!$F$5:$F$1004,Input!$D$5:$D$1004,$A9,Input!$I$5:$I$1004,F$4)</f>
        <v>3865.8</v>
      </c>
      <c r="G9" s="21">
        <f>SUMIFS(Input!$F$5:$F$1004,Input!$D$5:$D$1004,$A9,Input!$I$5:$I$1004,G$4)</f>
        <v>2018.0700000000002</v>
      </c>
      <c r="H9" s="21">
        <f>SUMIFS(Input!$F$5:$F$1004,Input!$D$5:$D$1004,$A9,Input!$I$5:$I$1004,H$4)</f>
        <v>1261.9299999999998</v>
      </c>
      <c r="I9" s="21">
        <f>SUMIFS(Input!$F$5:$F$1004,Input!$D$5:$D$1004,$A9,Input!$I$5:$I$1004,I$4)</f>
        <v>2185.94</v>
      </c>
      <c r="J9" s="21">
        <f>SUMIFS(Input!$F$5:$F$1004,Input!$D$5:$D$1004,$A9,Input!$I$5:$I$1004,J$4)</f>
        <v>1909.8400000000001</v>
      </c>
      <c r="K9" s="21">
        <f>SUMIFS(Input!$F$5:$F$1004,Input!$D$5:$D$1004,$A9,Input!$I$5:$I$1004,K$4)</f>
        <v>2340.4700000000003</v>
      </c>
      <c r="L9" s="21">
        <f>SUMIFS(Input!$F$5:$F$1004,Input!$D$5:$D$1004,$A9,Input!$I$5:$I$1004,L$4)</f>
        <v>1069.06</v>
      </c>
      <c r="M9" s="21">
        <f t="shared" si="0"/>
        <v>22952.600000000002</v>
      </c>
      <c r="N9" s="19">
        <f t="shared" si="1"/>
        <v>22000</v>
      </c>
      <c r="O9" s="21">
        <f t="shared" si="2"/>
        <v>-952.60000000000218</v>
      </c>
      <c r="P9" s="21">
        <f t="shared" si="3"/>
        <v>1.0433000000000001</v>
      </c>
      <c r="Q9" s="23" t="str">
        <f t="shared" si="4"/>
        <v>OVER BUDGET</v>
      </c>
    </row>
    <row r="10" spans="1:17" x14ac:dyDescent="0.25">
      <c r="A10" s="22" t="str">
        <f>Categories!A10</f>
        <v>Rent</v>
      </c>
      <c r="B10" s="20">
        <f>Categories!B10</f>
        <v>15000</v>
      </c>
      <c r="C10" s="21">
        <f>SUMIFS(Input!$F$5:$F$1004,Input!$D$5:$D$1004,$A10,Input!$I$5:$I$1004,C$4)</f>
        <v>15000</v>
      </c>
      <c r="D10" s="21">
        <f>SUMIFS(Input!$F$5:$F$1004,Input!$D$5:$D$1004,$A10,Input!$I$5:$I$1004,D$4)</f>
        <v>15000</v>
      </c>
      <c r="E10" s="21">
        <f>SUMIFS(Input!$F$5:$F$1004,Input!$D$5:$D$1004,$A10,Input!$I$5:$I$1004,E$4)</f>
        <v>15000</v>
      </c>
      <c r="F10" s="21">
        <f>SUMIFS(Input!$F$5:$F$1004,Input!$D$5:$D$1004,$A10,Input!$I$5:$I$1004,F$4)</f>
        <v>15000</v>
      </c>
      <c r="G10" s="21">
        <f>SUMIFS(Input!$F$5:$F$1004,Input!$D$5:$D$1004,$A10,Input!$I$5:$I$1004,G$4)</f>
        <v>15000</v>
      </c>
      <c r="H10" s="21">
        <f>SUMIFS(Input!$F$5:$F$1004,Input!$D$5:$D$1004,$A10,Input!$I$5:$I$1004,H$4)</f>
        <v>15000</v>
      </c>
      <c r="I10" s="21">
        <f>SUMIFS(Input!$F$5:$F$1004,Input!$D$5:$D$1004,$A10,Input!$I$5:$I$1004,I$4)</f>
        <v>15000</v>
      </c>
      <c r="J10" s="21">
        <f>SUMIFS(Input!$F$5:$F$1004,Input!$D$5:$D$1004,$A10,Input!$I$5:$I$1004,J$4)</f>
        <v>15000</v>
      </c>
      <c r="K10" s="21">
        <f>SUMIFS(Input!$F$5:$F$1004,Input!$D$5:$D$1004,$A10,Input!$I$5:$I$1004,K$4)</f>
        <v>15000</v>
      </c>
      <c r="L10" s="21">
        <f>SUMIFS(Input!$F$5:$F$1004,Input!$D$5:$D$1004,$A10,Input!$I$5:$I$1004,L$4)</f>
        <v>15000</v>
      </c>
      <c r="M10" s="21">
        <f t="shared" si="0"/>
        <v>150000</v>
      </c>
      <c r="N10" s="19">
        <f t="shared" si="1"/>
        <v>150000</v>
      </c>
      <c r="O10" s="21">
        <f t="shared" si="2"/>
        <v>0</v>
      </c>
      <c r="P10" s="21">
        <f t="shared" si="3"/>
        <v>1</v>
      </c>
      <c r="Q10" s="23" t="str">
        <f t="shared" si="4"/>
        <v>WARNING</v>
      </c>
    </row>
    <row r="11" spans="1:17" x14ac:dyDescent="0.25">
      <c r="A11" s="22" t="str">
        <f>Categories!A11</f>
        <v>Marketing</v>
      </c>
      <c r="B11" s="20">
        <f>Categories!B11</f>
        <v>14300</v>
      </c>
      <c r="C11" s="21">
        <f>SUMIFS(Input!$F$5:$F$1004,Input!$D$5:$D$1004,$A11,Input!$I$5:$I$1004,C$4)</f>
        <v>11427.12</v>
      </c>
      <c r="D11" s="21">
        <f>SUMIFS(Input!$F$5:$F$1004,Input!$D$5:$D$1004,$A11,Input!$I$5:$I$1004,D$4)</f>
        <v>14949.800000000003</v>
      </c>
      <c r="E11" s="21">
        <f>SUMIFS(Input!$F$5:$F$1004,Input!$D$5:$D$1004,$A11,Input!$I$5:$I$1004,E$4)</f>
        <v>15411.52</v>
      </c>
      <c r="F11" s="21">
        <f>SUMIFS(Input!$F$5:$F$1004,Input!$D$5:$D$1004,$A11,Input!$I$5:$I$1004,F$4)</f>
        <v>19515.73</v>
      </c>
      <c r="G11" s="21">
        <f>SUMIFS(Input!$F$5:$F$1004,Input!$D$5:$D$1004,$A11,Input!$I$5:$I$1004,G$4)</f>
        <v>12372.199999999999</v>
      </c>
      <c r="H11" s="21">
        <f>SUMIFS(Input!$F$5:$F$1004,Input!$D$5:$D$1004,$A11,Input!$I$5:$I$1004,H$4)</f>
        <v>10208.52</v>
      </c>
      <c r="I11" s="21">
        <f>SUMIFS(Input!$F$5:$F$1004,Input!$D$5:$D$1004,$A11,Input!$I$5:$I$1004,I$4)</f>
        <v>7894.18</v>
      </c>
      <c r="J11" s="21">
        <f>SUMIFS(Input!$F$5:$F$1004,Input!$D$5:$D$1004,$A11,Input!$I$5:$I$1004,J$4)</f>
        <v>11697.090000000002</v>
      </c>
      <c r="K11" s="21">
        <f>SUMIFS(Input!$F$5:$F$1004,Input!$D$5:$D$1004,$A11,Input!$I$5:$I$1004,K$4)</f>
        <v>10105.580000000002</v>
      </c>
      <c r="L11" s="21">
        <f>SUMIFS(Input!$F$5:$F$1004,Input!$D$5:$D$1004,$A11,Input!$I$5:$I$1004,L$4)</f>
        <v>14354.88</v>
      </c>
      <c r="M11" s="21">
        <f t="shared" si="0"/>
        <v>127936.62000000001</v>
      </c>
      <c r="N11" s="19">
        <f t="shared" si="1"/>
        <v>143000</v>
      </c>
      <c r="O11" s="21">
        <f t="shared" si="2"/>
        <v>15063.37999999999</v>
      </c>
      <c r="P11" s="21">
        <f t="shared" si="3"/>
        <v>0.89466167832167842</v>
      </c>
      <c r="Q11" s="23" t="str">
        <f t="shared" si="4"/>
        <v>WARNING</v>
      </c>
    </row>
    <row r="12" spans="1:17" x14ac:dyDescent="0.25">
      <c r="A12" s="22" t="str">
        <f>Categories!A12</f>
        <v>Training &amp; Development</v>
      </c>
      <c r="B12" s="20">
        <f>Categories!B12</f>
        <v>4200</v>
      </c>
      <c r="C12" s="21">
        <f>SUMIFS(Input!$F$5:$F$1004,Input!$D$5:$D$1004,$A12,Input!$I$5:$I$1004,C$4)</f>
        <v>3707.6400000000003</v>
      </c>
      <c r="D12" s="21">
        <f>SUMIFS(Input!$F$5:$F$1004,Input!$D$5:$D$1004,$A12,Input!$I$5:$I$1004,D$4)</f>
        <v>4429.91</v>
      </c>
      <c r="E12" s="21">
        <f>SUMIFS(Input!$F$5:$F$1004,Input!$D$5:$D$1004,$A12,Input!$I$5:$I$1004,E$4)</f>
        <v>8645.17</v>
      </c>
      <c r="F12" s="21">
        <f>SUMIFS(Input!$F$5:$F$1004,Input!$D$5:$D$1004,$A12,Input!$I$5:$I$1004,F$4)</f>
        <v>3509.05</v>
      </c>
      <c r="G12" s="21">
        <f>SUMIFS(Input!$F$5:$F$1004,Input!$D$5:$D$1004,$A12,Input!$I$5:$I$1004,G$4)</f>
        <v>4892.18</v>
      </c>
      <c r="H12" s="21">
        <f>SUMIFS(Input!$F$5:$F$1004,Input!$D$5:$D$1004,$A12,Input!$I$5:$I$1004,H$4)</f>
        <v>3220.9900000000002</v>
      </c>
      <c r="I12" s="21">
        <f>SUMIFS(Input!$F$5:$F$1004,Input!$D$5:$D$1004,$A12,Input!$I$5:$I$1004,I$4)</f>
        <v>2973.69</v>
      </c>
      <c r="J12" s="21">
        <f>SUMIFS(Input!$F$5:$F$1004,Input!$D$5:$D$1004,$A12,Input!$I$5:$I$1004,J$4)</f>
        <v>8409.4</v>
      </c>
      <c r="K12" s="21">
        <f>SUMIFS(Input!$F$5:$F$1004,Input!$D$5:$D$1004,$A12,Input!$I$5:$I$1004,K$4)</f>
        <v>3175.21</v>
      </c>
      <c r="L12" s="21">
        <f>SUMIFS(Input!$F$5:$F$1004,Input!$D$5:$D$1004,$A12,Input!$I$5:$I$1004,L$4)</f>
        <v>2981.8599999999997</v>
      </c>
      <c r="M12" s="21">
        <f t="shared" si="0"/>
        <v>45945.1</v>
      </c>
      <c r="N12" s="19">
        <f t="shared" si="1"/>
        <v>42000</v>
      </c>
      <c r="O12" s="21">
        <f t="shared" si="2"/>
        <v>-3945.0999999999985</v>
      </c>
      <c r="P12" s="21">
        <f t="shared" si="3"/>
        <v>1.0939309523809524</v>
      </c>
      <c r="Q12" s="23" t="str">
        <f t="shared" si="4"/>
        <v>OVER BUDGET</v>
      </c>
    </row>
    <row r="13" spans="1:17" x14ac:dyDescent="0.25">
      <c r="A13" s="22" t="str">
        <f>Categories!A13</f>
        <v>Equipment &amp; IT</v>
      </c>
      <c r="B13" s="20">
        <f>Categories!B13</f>
        <v>5500</v>
      </c>
      <c r="C13" s="21">
        <f>SUMIFS(Input!$F$5:$F$1004,Input!$D$5:$D$1004,$A13,Input!$I$5:$I$1004,C$4)</f>
        <v>6380.3600000000006</v>
      </c>
      <c r="D13" s="21">
        <f>SUMIFS(Input!$F$5:$F$1004,Input!$D$5:$D$1004,$A13,Input!$I$5:$I$1004,D$4)</f>
        <v>3162.25</v>
      </c>
      <c r="E13" s="21">
        <f>SUMIFS(Input!$F$5:$F$1004,Input!$D$5:$D$1004,$A13,Input!$I$5:$I$1004,E$4)</f>
        <v>4245.71</v>
      </c>
      <c r="F13" s="21">
        <f>SUMIFS(Input!$F$5:$F$1004,Input!$D$5:$D$1004,$A13,Input!$I$5:$I$1004,F$4)</f>
        <v>4992.04</v>
      </c>
      <c r="G13" s="21">
        <f>SUMIFS(Input!$F$5:$F$1004,Input!$D$5:$D$1004,$A13,Input!$I$5:$I$1004,G$4)</f>
        <v>11406.730000000001</v>
      </c>
      <c r="H13" s="21">
        <f>SUMIFS(Input!$F$5:$F$1004,Input!$D$5:$D$1004,$A13,Input!$I$5:$I$1004,H$4)</f>
        <v>5540.6500000000005</v>
      </c>
      <c r="I13" s="21">
        <f>SUMIFS(Input!$F$5:$F$1004,Input!$D$5:$D$1004,$A13,Input!$I$5:$I$1004,I$4)</f>
        <v>2520.13</v>
      </c>
      <c r="J13" s="21">
        <f>SUMIFS(Input!$F$5:$F$1004,Input!$D$5:$D$1004,$A13,Input!$I$5:$I$1004,J$4)</f>
        <v>9715.0600000000013</v>
      </c>
      <c r="K13" s="21">
        <f>SUMIFS(Input!$F$5:$F$1004,Input!$D$5:$D$1004,$A13,Input!$I$5:$I$1004,K$4)</f>
        <v>7397.74</v>
      </c>
      <c r="L13" s="21">
        <f>SUMIFS(Input!$F$5:$F$1004,Input!$D$5:$D$1004,$A13,Input!$I$5:$I$1004,L$4)</f>
        <v>687.49</v>
      </c>
      <c r="M13" s="21">
        <f t="shared" si="0"/>
        <v>56048.160000000003</v>
      </c>
      <c r="N13" s="19">
        <f t="shared" si="1"/>
        <v>55000</v>
      </c>
      <c r="O13" s="21">
        <f t="shared" si="2"/>
        <v>-1048.1600000000035</v>
      </c>
      <c r="P13" s="21">
        <f t="shared" si="3"/>
        <v>1.0190574545454547</v>
      </c>
      <c r="Q13" s="23" t="str">
        <f t="shared" si="4"/>
        <v>OVER BUDGET</v>
      </c>
    </row>
    <row r="14" spans="1:17" x14ac:dyDescent="0.25">
      <c r="A14" s="22" t="str">
        <f>Categories!A14</f>
        <v>Telephone &amp; Internet</v>
      </c>
      <c r="B14" s="20">
        <f>Categories!B14</f>
        <v>1400</v>
      </c>
      <c r="C14" s="21">
        <f>SUMIFS(Input!$F$5:$F$1004,Input!$D$5:$D$1004,$A14,Input!$I$5:$I$1004,C$4)</f>
        <v>1211.0999999999999</v>
      </c>
      <c r="D14" s="21">
        <f>SUMIFS(Input!$F$5:$F$1004,Input!$D$5:$D$1004,$A14,Input!$I$5:$I$1004,D$4)</f>
        <v>1344.49</v>
      </c>
      <c r="E14" s="21">
        <f>SUMIFS(Input!$F$5:$F$1004,Input!$D$5:$D$1004,$A14,Input!$I$5:$I$1004,E$4)</f>
        <v>2067.52</v>
      </c>
      <c r="F14" s="21">
        <f>SUMIFS(Input!$F$5:$F$1004,Input!$D$5:$D$1004,$A14,Input!$I$5:$I$1004,F$4)</f>
        <v>755.42</v>
      </c>
      <c r="G14" s="21">
        <f>SUMIFS(Input!$F$5:$F$1004,Input!$D$5:$D$1004,$A14,Input!$I$5:$I$1004,G$4)</f>
        <v>1559.73</v>
      </c>
      <c r="H14" s="21">
        <f>SUMIFS(Input!$F$5:$F$1004,Input!$D$5:$D$1004,$A14,Input!$I$5:$I$1004,H$4)</f>
        <v>1217.6499999999999</v>
      </c>
      <c r="I14" s="21">
        <f>SUMIFS(Input!$F$5:$F$1004,Input!$D$5:$D$1004,$A14,Input!$I$5:$I$1004,I$4)</f>
        <v>1129.44</v>
      </c>
      <c r="J14" s="21">
        <f>SUMIFS(Input!$F$5:$F$1004,Input!$D$5:$D$1004,$A14,Input!$I$5:$I$1004,J$4)</f>
        <v>650.29999999999995</v>
      </c>
      <c r="K14" s="21">
        <f>SUMIFS(Input!$F$5:$F$1004,Input!$D$5:$D$1004,$A14,Input!$I$5:$I$1004,K$4)</f>
        <v>526.63</v>
      </c>
      <c r="L14" s="21">
        <f>SUMIFS(Input!$F$5:$F$1004,Input!$D$5:$D$1004,$A14,Input!$I$5:$I$1004,L$4)</f>
        <v>1439.51</v>
      </c>
      <c r="M14" s="21">
        <f t="shared" si="0"/>
        <v>11901.789999999999</v>
      </c>
      <c r="N14" s="19">
        <f t="shared" si="1"/>
        <v>14000</v>
      </c>
      <c r="O14" s="21">
        <f t="shared" si="2"/>
        <v>2098.2100000000009</v>
      </c>
      <c r="P14" s="21">
        <f t="shared" si="3"/>
        <v>0.8501278571428571</v>
      </c>
      <c r="Q14" s="23" t="str">
        <f t="shared" si="4"/>
        <v>WARNING</v>
      </c>
    </row>
    <row r="15" spans="1:17" x14ac:dyDescent="0.25">
      <c r="A15" s="22" t="str">
        <f>Categories!A15</f>
        <v>Professional Services</v>
      </c>
      <c r="B15" s="20">
        <f>Categories!B15</f>
        <v>8500</v>
      </c>
      <c r="C15" s="21">
        <f>SUMIFS(Input!$F$5:$F$1004,Input!$D$5:$D$1004,$A15,Input!$I$5:$I$1004,C$4)</f>
        <v>3576.3599999999997</v>
      </c>
      <c r="D15" s="21">
        <f>SUMIFS(Input!$F$5:$F$1004,Input!$D$5:$D$1004,$A15,Input!$I$5:$I$1004,D$4)</f>
        <v>4703.95</v>
      </c>
      <c r="E15" s="21">
        <f>SUMIFS(Input!$F$5:$F$1004,Input!$D$5:$D$1004,$A15,Input!$I$5:$I$1004,E$4)</f>
        <v>4063.7300000000005</v>
      </c>
      <c r="F15" s="21">
        <f>SUMIFS(Input!$F$5:$F$1004,Input!$D$5:$D$1004,$A15,Input!$I$5:$I$1004,F$4)</f>
        <v>10787.26</v>
      </c>
      <c r="G15" s="21">
        <f>SUMIFS(Input!$F$5:$F$1004,Input!$D$5:$D$1004,$A15,Input!$I$5:$I$1004,G$4)</f>
        <v>9592.9500000000007</v>
      </c>
      <c r="H15" s="21">
        <f>SUMIFS(Input!$F$5:$F$1004,Input!$D$5:$D$1004,$A15,Input!$I$5:$I$1004,H$4)</f>
        <v>8196.8799999999992</v>
      </c>
      <c r="I15" s="21">
        <f>SUMIFS(Input!$F$5:$F$1004,Input!$D$5:$D$1004,$A15,Input!$I$5:$I$1004,I$4)</f>
        <v>13046.75</v>
      </c>
      <c r="J15" s="21">
        <f>SUMIFS(Input!$F$5:$F$1004,Input!$D$5:$D$1004,$A15,Input!$I$5:$I$1004,J$4)</f>
        <v>2902.85</v>
      </c>
      <c r="K15" s="21">
        <f>SUMIFS(Input!$F$5:$F$1004,Input!$D$5:$D$1004,$A15,Input!$I$5:$I$1004,K$4)</f>
        <v>14011.289999999999</v>
      </c>
      <c r="L15" s="21">
        <f>SUMIFS(Input!$F$5:$F$1004,Input!$D$5:$D$1004,$A15,Input!$I$5:$I$1004,L$4)</f>
        <v>3624.65</v>
      </c>
      <c r="M15" s="21">
        <f t="shared" si="0"/>
        <v>74506.67</v>
      </c>
      <c r="N15" s="19">
        <f t="shared" si="1"/>
        <v>85000</v>
      </c>
      <c r="O15" s="21">
        <f t="shared" si="2"/>
        <v>10493.330000000002</v>
      </c>
      <c r="P15" s="21">
        <f t="shared" si="3"/>
        <v>0.8765490588235294</v>
      </c>
      <c r="Q15" s="23" t="str">
        <f t="shared" si="4"/>
        <v>WARNING</v>
      </c>
    </row>
    <row r="16" spans="1:17" ht="15.75" thickBot="1" x14ac:dyDescent="0.3">
      <c r="A16" s="24" t="str">
        <f>Categories!A16</f>
        <v>Miscellaneous</v>
      </c>
      <c r="B16" s="25">
        <f>Categories!B16</f>
        <v>1300</v>
      </c>
      <c r="C16" s="26">
        <f>SUMIFS(Input!$F$5:$F$1004,Input!$D$5:$D$1004,$A16,Input!$I$5:$I$1004,C$4)</f>
        <v>1083.96</v>
      </c>
      <c r="D16" s="26">
        <f>SUMIFS(Input!$F$5:$F$1004,Input!$D$5:$D$1004,$A16,Input!$I$5:$I$1004,D$4)</f>
        <v>1032.6300000000001</v>
      </c>
      <c r="E16" s="26">
        <f>SUMIFS(Input!$F$5:$F$1004,Input!$D$5:$D$1004,$A16,Input!$I$5:$I$1004,E$4)</f>
        <v>1953.4899999999996</v>
      </c>
      <c r="F16" s="26">
        <f>SUMIFS(Input!$F$5:$F$1004,Input!$D$5:$D$1004,$A16,Input!$I$5:$I$1004,F$4)</f>
        <v>1742.72</v>
      </c>
      <c r="G16" s="26">
        <f>SUMIFS(Input!$F$5:$F$1004,Input!$D$5:$D$1004,$A16,Input!$I$5:$I$1004,G$4)</f>
        <v>1208.4199999999998</v>
      </c>
      <c r="H16" s="26">
        <f>SUMIFS(Input!$F$5:$F$1004,Input!$D$5:$D$1004,$A16,Input!$I$5:$I$1004,H$4)</f>
        <v>699.96999999999991</v>
      </c>
      <c r="I16" s="26">
        <f>SUMIFS(Input!$F$5:$F$1004,Input!$D$5:$D$1004,$A16,Input!$I$5:$I$1004,I$4)</f>
        <v>815.62</v>
      </c>
      <c r="J16" s="26">
        <f>SUMIFS(Input!$F$5:$F$1004,Input!$D$5:$D$1004,$A16,Input!$I$5:$I$1004,J$4)</f>
        <v>1068.42</v>
      </c>
      <c r="K16" s="26">
        <f>SUMIFS(Input!$F$5:$F$1004,Input!$D$5:$D$1004,$A16,Input!$I$5:$I$1004,K$4)</f>
        <v>1012.22</v>
      </c>
      <c r="L16" s="26">
        <f>SUMIFS(Input!$F$5:$F$1004,Input!$D$5:$D$1004,$A16,Input!$I$5:$I$1004,L$4)</f>
        <v>1264.68</v>
      </c>
      <c r="M16" s="26">
        <f t="shared" si="0"/>
        <v>11882.130000000001</v>
      </c>
      <c r="N16" s="27">
        <f t="shared" si="1"/>
        <v>13000</v>
      </c>
      <c r="O16" s="26">
        <f t="shared" si="2"/>
        <v>1117.869999999999</v>
      </c>
      <c r="P16" s="26">
        <f t="shared" si="3"/>
        <v>0.9140100000000001</v>
      </c>
      <c r="Q16" s="28" t="str">
        <f>IF(P16&gt;1,"OVER BUDGET",IF(P16&gt;=0.8,"WARNING","OK"))</f>
        <v>WARNING</v>
      </c>
    </row>
    <row r="17" spans="1:17" x14ac:dyDescent="0.25">
      <c r="A17" s="29" t="s">
        <v>1119</v>
      </c>
      <c r="B17" s="30">
        <f>SUM(B5:B16)</f>
        <v>73300</v>
      </c>
      <c r="C17" s="30">
        <f t="shared" ref="C17:O17" si="5">SUM(C5:C16)</f>
        <v>62180.079999999994</v>
      </c>
      <c r="D17" s="30">
        <f t="shared" si="5"/>
        <v>68353.000000000015</v>
      </c>
      <c r="E17" s="30">
        <f t="shared" si="5"/>
        <v>74495.87000000001</v>
      </c>
      <c r="F17" s="30">
        <f t="shared" si="5"/>
        <v>80250.76999999999</v>
      </c>
      <c r="G17" s="30">
        <f t="shared" si="5"/>
        <v>79708.969999999987</v>
      </c>
      <c r="H17" s="30">
        <f t="shared" si="5"/>
        <v>57957.97</v>
      </c>
      <c r="I17" s="30">
        <f t="shared" si="5"/>
        <v>62740.329999999994</v>
      </c>
      <c r="J17" s="30">
        <f t="shared" si="5"/>
        <v>72981.12000000001</v>
      </c>
      <c r="K17" s="30">
        <f t="shared" si="5"/>
        <v>71087.66</v>
      </c>
      <c r="L17" s="30">
        <f t="shared" si="5"/>
        <v>67985.26999999999</v>
      </c>
      <c r="M17" s="30">
        <f>SUM(M5:M16)</f>
        <v>697741.04000000015</v>
      </c>
      <c r="N17" s="30">
        <f t="shared" si="5"/>
        <v>733000</v>
      </c>
      <c r="O17" s="30">
        <f t="shared" si="5"/>
        <v>35258.959999999977</v>
      </c>
      <c r="P17" s="35">
        <f>IF(N17=0,0,M17/N17)</f>
        <v>0.95189773533424304</v>
      </c>
      <c r="Q17" s="31" t="str">
        <f>IF(P17&gt;1,"OVER BUDGET",IF(P17&gt;=0.8,"WARNING","OK"))</f>
        <v>WARNING</v>
      </c>
    </row>
    <row r="19" spans="1:17" ht="15.75" thickBot="1" x14ac:dyDescent="0.3"/>
    <row r="20" spans="1:17" ht="18.75" x14ac:dyDescent="0.3">
      <c r="A20" s="66" t="s">
        <v>1110</v>
      </c>
      <c r="B20" s="67" t="s">
        <v>1127</v>
      </c>
      <c r="C20" s="68" t="s">
        <v>1128</v>
      </c>
    </row>
    <row r="21" spans="1:17" x14ac:dyDescent="0.25">
      <c r="A21" s="38">
        <f>C4</f>
        <v>45292</v>
      </c>
      <c r="B21" s="41">
        <f>$B$17</f>
        <v>73300</v>
      </c>
      <c r="C21" s="36">
        <f>SUMIFS(Input!$F$5:$F$1004,Input!$I$5:$I$1004,A21)</f>
        <v>62180.080000000009</v>
      </c>
    </row>
    <row r="22" spans="1:17" x14ac:dyDescent="0.25">
      <c r="A22" s="39">
        <f>EDATE(A21,1)</f>
        <v>45323</v>
      </c>
      <c r="B22" s="41">
        <f t="shared" ref="B22:B30" si="6">$B$17</f>
        <v>73300</v>
      </c>
      <c r="C22" s="36">
        <f>SUMIFS(Input!$F$5:$F$1004,Input!$I$5:$I$1004,A22)</f>
        <v>68352.999999999956</v>
      </c>
    </row>
    <row r="23" spans="1:17" x14ac:dyDescent="0.25">
      <c r="A23" s="39">
        <f t="shared" ref="A23:A30" si="7">EDATE(A22,1)</f>
        <v>45352</v>
      </c>
      <c r="B23" s="41">
        <f t="shared" si="6"/>
        <v>73300</v>
      </c>
      <c r="C23" s="36">
        <f>SUMIFS(Input!$F$5:$F$1004,Input!$I$5:$I$1004,A23)</f>
        <v>74495.87000000001</v>
      </c>
    </row>
    <row r="24" spans="1:17" x14ac:dyDescent="0.25">
      <c r="A24" s="39">
        <f t="shared" si="7"/>
        <v>45383</v>
      </c>
      <c r="B24" s="41">
        <f t="shared" si="6"/>
        <v>73300</v>
      </c>
      <c r="C24" s="36">
        <f>SUMIFS(Input!$F$5:$F$1004,Input!$I$5:$I$1004,A24)</f>
        <v>80250.77</v>
      </c>
    </row>
    <row r="25" spans="1:17" x14ac:dyDescent="0.25">
      <c r="A25" s="39">
        <f t="shared" si="7"/>
        <v>45413</v>
      </c>
      <c r="B25" s="41">
        <f t="shared" si="6"/>
        <v>73300</v>
      </c>
      <c r="C25" s="36">
        <f>SUMIFS(Input!$F$5:$F$1004,Input!$I$5:$I$1004,A25)</f>
        <v>79708.97000000003</v>
      </c>
    </row>
    <row r="26" spans="1:17" x14ac:dyDescent="0.25">
      <c r="A26" s="39">
        <f t="shared" si="7"/>
        <v>45444</v>
      </c>
      <c r="B26" s="41">
        <f t="shared" si="6"/>
        <v>73300</v>
      </c>
      <c r="C26" s="36">
        <f>SUMIFS(Input!$F$5:$F$1004,Input!$I$5:$I$1004,A26)</f>
        <v>57957.97</v>
      </c>
    </row>
    <row r="27" spans="1:17" x14ac:dyDescent="0.25">
      <c r="A27" s="39">
        <f t="shared" si="7"/>
        <v>45474</v>
      </c>
      <c r="B27" s="41">
        <f t="shared" si="6"/>
        <v>73300</v>
      </c>
      <c r="C27" s="36">
        <f>SUMIFS(Input!$F$5:$F$1004,Input!$I$5:$I$1004,A27)</f>
        <v>62740.329999999994</v>
      </c>
    </row>
    <row r="28" spans="1:17" x14ac:dyDescent="0.25">
      <c r="A28" s="39">
        <f t="shared" si="7"/>
        <v>45505</v>
      </c>
      <c r="B28" s="41">
        <f t="shared" si="6"/>
        <v>73300</v>
      </c>
      <c r="C28" s="36">
        <f>SUMIFS(Input!$F$5:$F$1004,Input!$I$5:$I$1004,A28)</f>
        <v>72981.119999999981</v>
      </c>
    </row>
    <row r="29" spans="1:17" x14ac:dyDescent="0.25">
      <c r="A29" s="39">
        <f t="shared" si="7"/>
        <v>45536</v>
      </c>
      <c r="B29" s="41">
        <f t="shared" si="6"/>
        <v>73300</v>
      </c>
      <c r="C29" s="36">
        <f>SUMIFS(Input!$F$5:$F$1004,Input!$I$5:$I$1004,A29)</f>
        <v>71087.659999999989</v>
      </c>
    </row>
    <row r="30" spans="1:17" ht="15.75" thickBot="1" x14ac:dyDescent="0.3">
      <c r="A30" s="40">
        <f t="shared" si="7"/>
        <v>45566</v>
      </c>
      <c r="B30" s="42">
        <f t="shared" si="6"/>
        <v>73300</v>
      </c>
      <c r="C30" s="37">
        <f>SUMIFS(Input!$F$5:$F$1004,Input!$I$5:$I$1004,A30)</f>
        <v>67985.270000000033</v>
      </c>
    </row>
  </sheetData>
  <conditionalFormatting sqref="Q5:Q17">
    <cfRule type="expression" dxfId="2" priority="4">
      <formula>$P5&gt;1</formula>
    </cfRule>
    <cfRule type="expression" dxfId="1" priority="3">
      <formula>AND($P5&gt;=0.8,$P5&lt;=1)</formula>
    </cfRule>
  </conditionalFormatting>
  <conditionalFormatting sqref="O5:O17">
    <cfRule type="cellIs" dxfId="0" priority="2" operator="lessThan">
      <formula>0</formula>
    </cfRule>
  </conditionalFormatting>
  <conditionalFormatting sqref="P5:P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{962CEA63-16AF-4FFF-8516-BAED3F4048C2}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2CEA63-16AF-4FFF-8516-BAED3F404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P5:P16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selection activeCell="C14" sqref="C14"/>
    </sheetView>
  </sheetViews>
  <sheetFormatPr defaultColWidth="8.7109375" defaultRowHeight="15" x14ac:dyDescent="0.25"/>
  <cols>
    <col min="1" max="4" width="22" customWidth="1"/>
  </cols>
  <sheetData>
    <row r="1" spans="1:4" x14ac:dyDescent="0.25">
      <c r="A1" s="59" t="s">
        <v>2</v>
      </c>
      <c r="B1" s="60" t="s">
        <v>6</v>
      </c>
      <c r="C1" s="60" t="s">
        <v>7</v>
      </c>
      <c r="D1" s="61" t="s">
        <v>1110</v>
      </c>
    </row>
    <row r="2" spans="1:4" x14ac:dyDescent="0.25">
      <c r="A2" s="51" t="s">
        <v>49</v>
      </c>
      <c r="B2" s="52" t="s">
        <v>19</v>
      </c>
      <c r="C2" s="52" t="s">
        <v>14</v>
      </c>
      <c r="D2" s="53">
        <v>45292</v>
      </c>
    </row>
    <row r="3" spans="1:4" x14ac:dyDescent="0.25">
      <c r="A3" s="51" t="s">
        <v>22</v>
      </c>
      <c r="B3" s="52" t="s">
        <v>24</v>
      </c>
      <c r="C3" s="52" t="s">
        <v>20</v>
      </c>
      <c r="D3" s="53">
        <v>45323</v>
      </c>
    </row>
    <row r="4" spans="1:4" x14ac:dyDescent="0.25">
      <c r="A4" s="51" t="s">
        <v>54</v>
      </c>
      <c r="B4" s="52" t="s">
        <v>13</v>
      </c>
      <c r="C4" s="52" t="s">
        <v>1111</v>
      </c>
      <c r="D4" s="53">
        <v>45352</v>
      </c>
    </row>
    <row r="5" spans="1:4" x14ac:dyDescent="0.25">
      <c r="A5" s="51" t="s">
        <v>29</v>
      </c>
      <c r="B5" s="52" t="s">
        <v>86</v>
      </c>
      <c r="C5" s="54"/>
      <c r="D5" s="53">
        <v>45383</v>
      </c>
    </row>
    <row r="6" spans="1:4" x14ac:dyDescent="0.25">
      <c r="A6" s="51" t="s">
        <v>39</v>
      </c>
      <c r="B6" s="52" t="s">
        <v>27</v>
      </c>
      <c r="C6" s="54"/>
      <c r="D6" s="53">
        <v>45413</v>
      </c>
    </row>
    <row r="7" spans="1:4" x14ac:dyDescent="0.25">
      <c r="A7" s="51" t="s">
        <v>33</v>
      </c>
      <c r="B7" s="52" t="s">
        <v>52</v>
      </c>
      <c r="C7" s="54"/>
      <c r="D7" s="53">
        <v>45444</v>
      </c>
    </row>
    <row r="8" spans="1:4" x14ac:dyDescent="0.25">
      <c r="A8" s="51" t="s">
        <v>16</v>
      </c>
      <c r="B8" s="54"/>
      <c r="C8" s="54"/>
      <c r="D8" s="53">
        <v>45474</v>
      </c>
    </row>
    <row r="9" spans="1:4" x14ac:dyDescent="0.25">
      <c r="A9" s="51" t="s">
        <v>10</v>
      </c>
      <c r="B9" s="54"/>
      <c r="C9" s="54"/>
      <c r="D9" s="53">
        <v>45505</v>
      </c>
    </row>
    <row r="10" spans="1:4" x14ac:dyDescent="0.25">
      <c r="A10" s="55"/>
      <c r="B10" s="54"/>
      <c r="C10" s="54"/>
      <c r="D10" s="53">
        <v>45536</v>
      </c>
    </row>
    <row r="11" spans="1:4" ht="15.75" thickBot="1" x14ac:dyDescent="0.3">
      <c r="A11" s="56"/>
      <c r="B11" s="57"/>
      <c r="C11" s="57"/>
      <c r="D11" s="58">
        <v>45566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Input</vt:lpstr>
      <vt:lpstr>Categories</vt:lpstr>
      <vt:lpstr>Monthly Summary</vt:lpstr>
      <vt:lpstr>Lists</vt:lpstr>
      <vt:lpstr>tblExpense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Debangshi Dasgupta</cp:lastModifiedBy>
  <cp:revision>0</cp:revision>
  <dcterms:created xsi:type="dcterms:W3CDTF">2026-10-23T05:34:57Z</dcterms:created>
  <dcterms:modified xsi:type="dcterms:W3CDTF">2026-10-26T13:57:38Z</dcterms:modified>
  <dc:language>en-US</dc:language>
</cp:coreProperties>
</file>